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asterx-my.sharepoint.com/personal/joao_pedro_km_kongsberg_com/Documents/Code Library/Fatigue Code/Stress Code/"/>
    </mc:Choice>
  </mc:AlternateContent>
  <xr:revisionPtr revIDLastSave="60" documentId="13_ncr:1_{3FE89207-14D9-46F2-8F90-A0A5F42BC856}" xr6:coauthVersionLast="47" xr6:coauthVersionMax="47" xr10:uidLastSave="{0E227133-E7C8-48F2-A45B-0B95F532F1F5}"/>
  <bookViews>
    <workbookView xWindow="30612" yWindow="-108" windowWidth="30936" windowHeight="17040" tabRatio="702" activeTab="2" xr2:uid="{00000000-000D-0000-FFFF-FFFF00000000}"/>
  </bookViews>
  <sheets>
    <sheet name="Properties" sheetId="29" r:id="rId1"/>
    <sheet name="EA-Estimate" sheetId="15" r:id="rId2"/>
    <sheet name="Tube_C_G_Nor" sheetId="16" r:id="rId3"/>
    <sheet name="Tube_C_G_AbNorm" sheetId="41" r:id="rId4"/>
    <sheet name="Tube_2504_Norm" sheetId="32" r:id="rId5"/>
    <sheet name="Tube_2504_AbNorm" sheetId="42" r:id="rId6"/>
    <sheet name="Summary" sheetId="33" r:id="rId7"/>
    <sheet name="Sheet1" sheetId="40" r:id="rId8"/>
  </sheets>
  <definedNames>
    <definedName name="Condition" localSheetId="5">Tube_2504_AbNorm!$I$6:$I$9</definedName>
    <definedName name="Condition" localSheetId="4">Tube_2504_Norm!$I$6:$I$9</definedName>
    <definedName name="Condition" localSheetId="3">Tube_C_G_AbNorm!$I$6:$I$9</definedName>
    <definedName name="Condition" localSheetId="2">Tube_C_G_Nor!$I$6:$I$9</definedName>
    <definedName name="Conditio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8" i="16" l="1"/>
  <c r="N18" i="16" l="1"/>
  <c r="K18" i="16"/>
  <c r="J18" i="16"/>
  <c r="P42" i="33"/>
  <c r="O42" i="33"/>
  <c r="O41" i="33"/>
  <c r="O40" i="33"/>
  <c r="M41" i="33"/>
  <c r="M42" i="33"/>
  <c r="H32" i="33" l="1"/>
  <c r="H33" i="33"/>
  <c r="H34" i="33"/>
  <c r="H35" i="33"/>
  <c r="H36" i="33"/>
  <c r="H37" i="33"/>
  <c r="H38" i="33"/>
  <c r="H39" i="33"/>
  <c r="H40" i="33"/>
  <c r="H41" i="33"/>
  <c r="H42" i="33"/>
  <c r="H43" i="33"/>
  <c r="H44" i="33"/>
  <c r="H45" i="33"/>
  <c r="H31" i="33"/>
  <c r="F32" i="33"/>
  <c r="G32" i="33"/>
  <c r="F33" i="33"/>
  <c r="G33" i="33"/>
  <c r="F34" i="33"/>
  <c r="G34" i="33"/>
  <c r="F35" i="33"/>
  <c r="G35" i="33"/>
  <c r="F36" i="33"/>
  <c r="G36" i="33"/>
  <c r="F37" i="33"/>
  <c r="G37" i="33"/>
  <c r="F38" i="33"/>
  <c r="G38" i="33"/>
  <c r="F39" i="33"/>
  <c r="G39" i="33"/>
  <c r="F40" i="33"/>
  <c r="G40" i="33"/>
  <c r="F41" i="33"/>
  <c r="G41" i="33"/>
  <c r="F42" i="33"/>
  <c r="G42" i="33"/>
  <c r="F43" i="33"/>
  <c r="G43" i="33"/>
  <c r="F44" i="33"/>
  <c r="G44" i="33"/>
  <c r="F45" i="33"/>
  <c r="G45" i="33"/>
  <c r="G31" i="33"/>
  <c r="F31" i="33"/>
  <c r="E32" i="33"/>
  <c r="E33" i="33" s="1"/>
  <c r="E34" i="33" s="1"/>
  <c r="E35" i="33" s="1"/>
  <c r="E36" i="33" s="1"/>
  <c r="E37" i="33" s="1"/>
  <c r="E38" i="33" s="1"/>
  <c r="E39" i="33" s="1"/>
  <c r="E40" i="33" s="1"/>
  <c r="E41" i="33" s="1"/>
  <c r="E42" i="33" s="1"/>
  <c r="E43" i="33" s="1"/>
  <c r="E44" i="33" s="1"/>
  <c r="E45" i="33" s="1"/>
  <c r="G38" i="41"/>
  <c r="H38" i="41"/>
  <c r="H39" i="41" s="1"/>
  <c r="J38" i="41"/>
  <c r="L38" i="41"/>
  <c r="N38" i="41"/>
  <c r="O38" i="41"/>
  <c r="Q38" i="41"/>
  <c r="S38" i="41"/>
  <c r="T38" i="41"/>
  <c r="X38" i="41"/>
  <c r="G39" i="41"/>
  <c r="G40" i="41" s="1"/>
  <c r="G41" i="41" s="1"/>
  <c r="G42" i="41" s="1"/>
  <c r="G43" i="41" s="1"/>
  <c r="J39" i="41"/>
  <c r="L39" i="41"/>
  <c r="N39" i="41"/>
  <c r="O39" i="41"/>
  <c r="Q39" i="41"/>
  <c r="S39" i="41"/>
  <c r="T39" i="41"/>
  <c r="X39" i="41"/>
  <c r="X40" i="41" s="1"/>
  <c r="X41" i="41" s="1"/>
  <c r="X42" i="41" s="1"/>
  <c r="X43" i="41" s="1"/>
  <c r="J40" i="41"/>
  <c r="L40" i="41"/>
  <c r="N40" i="41"/>
  <c r="O40" i="41"/>
  <c r="Q40" i="41"/>
  <c r="S40" i="41"/>
  <c r="T40" i="41"/>
  <c r="J41" i="41"/>
  <c r="L41" i="41"/>
  <c r="N41" i="41"/>
  <c r="O41" i="41"/>
  <c r="Q41" i="41"/>
  <c r="S41" i="41"/>
  <c r="T41" i="41"/>
  <c r="J42" i="41"/>
  <c r="L42" i="41"/>
  <c r="N42" i="41"/>
  <c r="O42" i="41"/>
  <c r="Q42" i="41"/>
  <c r="S42" i="41"/>
  <c r="T42" i="41"/>
  <c r="J43" i="41"/>
  <c r="L43" i="41"/>
  <c r="N43" i="41"/>
  <c r="O43" i="41"/>
  <c r="Q43" i="41"/>
  <c r="S43" i="41"/>
  <c r="T43" i="41"/>
  <c r="C13" i="41"/>
  <c r="C12" i="41"/>
  <c r="C11" i="41" s="1"/>
  <c r="C10" i="16"/>
  <c r="C11" i="16"/>
  <c r="C12" i="16"/>
  <c r="S18" i="16" s="1"/>
  <c r="C4" i="16"/>
  <c r="R39" i="41" l="1"/>
  <c r="U39" i="41" s="1"/>
  <c r="H40" i="41"/>
  <c r="K39" i="41"/>
  <c r="M39" i="41" s="1"/>
  <c r="P39" i="41" s="1"/>
  <c r="K38" i="41"/>
  <c r="V39" i="41" l="1"/>
  <c r="W39" i="41" s="1"/>
  <c r="M38" i="41"/>
  <c r="P38" i="41" s="1"/>
  <c r="R38" i="41"/>
  <c r="U38" i="41" s="1"/>
  <c r="H41" i="41"/>
  <c r="K40" i="41"/>
  <c r="J19" i="42"/>
  <c r="K19" i="42"/>
  <c r="L19" i="42"/>
  <c r="N19" i="42"/>
  <c r="O19" i="42"/>
  <c r="Q19" i="42"/>
  <c r="S19" i="42"/>
  <c r="T19" i="42"/>
  <c r="J20" i="42"/>
  <c r="K20" i="42"/>
  <c r="L20" i="42"/>
  <c r="N20" i="42"/>
  <c r="O20" i="42"/>
  <c r="Q20" i="42"/>
  <c r="R20" i="42" s="1"/>
  <c r="S20" i="42"/>
  <c r="T20" i="42"/>
  <c r="J21" i="42"/>
  <c r="K21" i="42"/>
  <c r="L21" i="42"/>
  <c r="N21" i="42"/>
  <c r="O21" i="42"/>
  <c r="Q21" i="42"/>
  <c r="S21" i="42"/>
  <c r="T21" i="42"/>
  <c r="J22" i="42"/>
  <c r="K22" i="42"/>
  <c r="L22" i="42"/>
  <c r="M22" i="42"/>
  <c r="P22" i="42" s="1"/>
  <c r="N22" i="42"/>
  <c r="O22" i="42"/>
  <c r="Q22" i="42"/>
  <c r="R22" i="42" s="1"/>
  <c r="S22" i="42"/>
  <c r="T22" i="42"/>
  <c r="J23" i="42"/>
  <c r="K23" i="42"/>
  <c r="L23" i="42"/>
  <c r="N23" i="42"/>
  <c r="O23" i="42"/>
  <c r="Q23" i="42"/>
  <c r="S23" i="42"/>
  <c r="T23" i="42"/>
  <c r="J24" i="42"/>
  <c r="K24" i="42"/>
  <c r="L24" i="42"/>
  <c r="M24" i="42" s="1"/>
  <c r="N24" i="42"/>
  <c r="O24" i="42"/>
  <c r="Q24" i="42"/>
  <c r="R24" i="42" s="1"/>
  <c r="S24" i="42"/>
  <c r="T24" i="42"/>
  <c r="J25" i="42"/>
  <c r="K25" i="42"/>
  <c r="L25" i="42"/>
  <c r="N25" i="42"/>
  <c r="O25" i="42"/>
  <c r="Q25" i="42"/>
  <c r="S25" i="42"/>
  <c r="T25" i="42"/>
  <c r="J26" i="42"/>
  <c r="K26" i="42"/>
  <c r="L26" i="42"/>
  <c r="N26" i="42"/>
  <c r="O26" i="42"/>
  <c r="Q26" i="42"/>
  <c r="S26" i="42"/>
  <c r="T26" i="42"/>
  <c r="J27" i="42"/>
  <c r="K27" i="42"/>
  <c r="L27" i="42"/>
  <c r="N27" i="42"/>
  <c r="O27" i="42"/>
  <c r="Q27" i="42"/>
  <c r="S27" i="42"/>
  <c r="T27" i="42"/>
  <c r="J28" i="42"/>
  <c r="K28" i="42"/>
  <c r="L28" i="42"/>
  <c r="N28" i="42"/>
  <c r="O28" i="42"/>
  <c r="Q28" i="42"/>
  <c r="S28" i="42"/>
  <c r="T28" i="42"/>
  <c r="J29" i="42"/>
  <c r="K29" i="42"/>
  <c r="L29" i="42"/>
  <c r="M29" i="42" s="1"/>
  <c r="N29" i="42"/>
  <c r="O29" i="42"/>
  <c r="Q29" i="42"/>
  <c r="R29" i="42"/>
  <c r="U29" i="42" s="1"/>
  <c r="S29" i="42"/>
  <c r="T29" i="42"/>
  <c r="J30" i="42"/>
  <c r="K30" i="42"/>
  <c r="L30" i="42"/>
  <c r="N30" i="42"/>
  <c r="O30" i="42"/>
  <c r="Q30" i="42"/>
  <c r="S30" i="42"/>
  <c r="T30" i="42"/>
  <c r="J31" i="42"/>
  <c r="K31" i="42"/>
  <c r="L31" i="42"/>
  <c r="N31" i="42"/>
  <c r="O31" i="42"/>
  <c r="Q31" i="42"/>
  <c r="S31" i="42"/>
  <c r="T31" i="42"/>
  <c r="J32" i="42"/>
  <c r="K32" i="42"/>
  <c r="L32" i="42"/>
  <c r="M32" i="42" s="1"/>
  <c r="P32" i="42" s="1"/>
  <c r="N32" i="42"/>
  <c r="O32" i="42"/>
  <c r="Q32" i="42"/>
  <c r="S32" i="42"/>
  <c r="T32" i="42"/>
  <c r="J33" i="42"/>
  <c r="K33" i="42"/>
  <c r="L33" i="42"/>
  <c r="M33" i="42"/>
  <c r="N33" i="42"/>
  <c r="O33" i="42"/>
  <c r="P33" i="42"/>
  <c r="Q33" i="42"/>
  <c r="R33" i="42" s="1"/>
  <c r="S33" i="42"/>
  <c r="U33" i="42" s="1"/>
  <c r="T33" i="42"/>
  <c r="J34" i="42"/>
  <c r="K34" i="42"/>
  <c r="L34" i="42"/>
  <c r="N34" i="42"/>
  <c r="O34" i="42"/>
  <c r="Q34" i="42"/>
  <c r="S34" i="42"/>
  <c r="T34" i="42"/>
  <c r="J35" i="42"/>
  <c r="K35" i="42"/>
  <c r="L35" i="42"/>
  <c r="M35" i="42" s="1"/>
  <c r="N35" i="42"/>
  <c r="O35" i="42"/>
  <c r="Q35" i="42"/>
  <c r="S35" i="42"/>
  <c r="T35" i="42"/>
  <c r="J36" i="42"/>
  <c r="K36" i="42"/>
  <c r="L36" i="42"/>
  <c r="N36" i="42"/>
  <c r="O36" i="42"/>
  <c r="Q36" i="42"/>
  <c r="R36" i="42"/>
  <c r="S36" i="42"/>
  <c r="T36" i="42"/>
  <c r="J37" i="42"/>
  <c r="K37" i="42"/>
  <c r="L37" i="42"/>
  <c r="N37" i="42"/>
  <c r="O37" i="42"/>
  <c r="Q37" i="42"/>
  <c r="S37" i="42"/>
  <c r="T37" i="42"/>
  <c r="J38" i="42"/>
  <c r="K38" i="42"/>
  <c r="L38" i="42"/>
  <c r="M38" i="42" s="1"/>
  <c r="P38" i="42" s="1"/>
  <c r="N38" i="42"/>
  <c r="O38" i="42"/>
  <c r="Q38" i="42"/>
  <c r="R38" i="42"/>
  <c r="S38" i="42"/>
  <c r="T38" i="42"/>
  <c r="J39" i="42"/>
  <c r="K39" i="42"/>
  <c r="L39" i="42"/>
  <c r="N39" i="42"/>
  <c r="O39" i="42"/>
  <c r="Q39" i="42"/>
  <c r="S39" i="42"/>
  <c r="T39" i="42"/>
  <c r="J40" i="42"/>
  <c r="K40" i="42"/>
  <c r="L40" i="42"/>
  <c r="M40" i="42" s="1"/>
  <c r="N40" i="42"/>
  <c r="O40" i="42"/>
  <c r="Q40" i="42"/>
  <c r="R40" i="42" s="1"/>
  <c r="U40" i="42" s="1"/>
  <c r="S40" i="42"/>
  <c r="T40" i="42"/>
  <c r="J41" i="42"/>
  <c r="K41" i="42"/>
  <c r="L41" i="42"/>
  <c r="N41" i="42"/>
  <c r="O41" i="42"/>
  <c r="Q41" i="42"/>
  <c r="S41" i="42"/>
  <c r="T41" i="42"/>
  <c r="J42" i="42"/>
  <c r="M42" i="42" s="1"/>
  <c r="K42" i="42"/>
  <c r="R42" i="42" s="1"/>
  <c r="L42" i="42"/>
  <c r="N42" i="42"/>
  <c r="O42" i="42"/>
  <c r="Q42" i="42"/>
  <c r="S42" i="42"/>
  <c r="T42" i="42"/>
  <c r="T18" i="42"/>
  <c r="S18" i="42"/>
  <c r="Q18" i="42"/>
  <c r="O18" i="42"/>
  <c r="N18" i="42"/>
  <c r="L18" i="42"/>
  <c r="K18" i="42"/>
  <c r="J18" i="42"/>
  <c r="J19" i="32"/>
  <c r="K19" i="32"/>
  <c r="L19" i="32"/>
  <c r="N19" i="32"/>
  <c r="O19" i="32"/>
  <c r="Q19" i="32"/>
  <c r="S19" i="32"/>
  <c r="T19" i="32"/>
  <c r="J20" i="32"/>
  <c r="K20" i="32"/>
  <c r="L20" i="32"/>
  <c r="M20" i="32" s="1"/>
  <c r="P20" i="32" s="1"/>
  <c r="N20" i="32"/>
  <c r="O20" i="32"/>
  <c r="Q20" i="32"/>
  <c r="R20" i="32" s="1"/>
  <c r="U20" i="32" s="1"/>
  <c r="S20" i="32"/>
  <c r="T20" i="32"/>
  <c r="J21" i="32"/>
  <c r="K21" i="32"/>
  <c r="L21" i="32"/>
  <c r="N21" i="32"/>
  <c r="O21" i="32"/>
  <c r="Q21" i="32"/>
  <c r="S21" i="32"/>
  <c r="T21" i="32"/>
  <c r="J22" i="32"/>
  <c r="K22" i="32"/>
  <c r="L22" i="32"/>
  <c r="N22" i="32"/>
  <c r="O22" i="32"/>
  <c r="Q22" i="32"/>
  <c r="R22" i="32" s="1"/>
  <c r="S22" i="32"/>
  <c r="T22" i="32"/>
  <c r="J23" i="32"/>
  <c r="K23" i="32"/>
  <c r="L23" i="32"/>
  <c r="N23" i="32"/>
  <c r="O23" i="32"/>
  <c r="Q23" i="32"/>
  <c r="S23" i="32"/>
  <c r="T23" i="32"/>
  <c r="J24" i="32"/>
  <c r="K24" i="32"/>
  <c r="L24" i="32"/>
  <c r="M24" i="32" s="1"/>
  <c r="N24" i="32"/>
  <c r="O24" i="32"/>
  <c r="Q24" i="32"/>
  <c r="R24" i="32" s="1"/>
  <c r="S24" i="32"/>
  <c r="T24" i="32"/>
  <c r="J25" i="32"/>
  <c r="K25" i="32"/>
  <c r="L25" i="32"/>
  <c r="N25" i="32"/>
  <c r="O25" i="32"/>
  <c r="Q25" i="32"/>
  <c r="S25" i="32"/>
  <c r="T25" i="32"/>
  <c r="J26" i="32"/>
  <c r="K26" i="32"/>
  <c r="L26" i="32"/>
  <c r="N26" i="32"/>
  <c r="O26" i="32"/>
  <c r="Q26" i="32"/>
  <c r="S26" i="32"/>
  <c r="T26" i="32"/>
  <c r="J27" i="32"/>
  <c r="K27" i="32"/>
  <c r="L27" i="32"/>
  <c r="N27" i="32"/>
  <c r="O27" i="32"/>
  <c r="Q27" i="32"/>
  <c r="S27" i="32"/>
  <c r="T27" i="32"/>
  <c r="J28" i="32"/>
  <c r="K28" i="32"/>
  <c r="L28" i="32"/>
  <c r="N28" i="32"/>
  <c r="O28" i="32"/>
  <c r="Q28" i="32"/>
  <c r="S28" i="32"/>
  <c r="T28" i="32"/>
  <c r="J29" i="32"/>
  <c r="K29" i="32"/>
  <c r="L29" i="32"/>
  <c r="M29" i="32" s="1"/>
  <c r="P29" i="32" s="1"/>
  <c r="N29" i="32"/>
  <c r="O29" i="32"/>
  <c r="Q29" i="32"/>
  <c r="S29" i="32"/>
  <c r="T29" i="32"/>
  <c r="J30" i="32"/>
  <c r="K30" i="32"/>
  <c r="L30" i="32"/>
  <c r="N30" i="32"/>
  <c r="O30" i="32"/>
  <c r="Q30" i="32"/>
  <c r="S30" i="32"/>
  <c r="T30" i="32"/>
  <c r="J31" i="32"/>
  <c r="K31" i="32"/>
  <c r="L31" i="32"/>
  <c r="N31" i="32"/>
  <c r="O31" i="32"/>
  <c r="Q31" i="32"/>
  <c r="S31" i="32"/>
  <c r="T31" i="32"/>
  <c r="J32" i="32"/>
  <c r="K32" i="32"/>
  <c r="L32" i="32"/>
  <c r="N32" i="32"/>
  <c r="O32" i="32"/>
  <c r="Q32" i="32"/>
  <c r="S32" i="32"/>
  <c r="T32" i="32"/>
  <c r="J33" i="32"/>
  <c r="K33" i="32"/>
  <c r="L33" i="32"/>
  <c r="N33" i="32"/>
  <c r="O33" i="32"/>
  <c r="Q33" i="32"/>
  <c r="S33" i="32"/>
  <c r="T33" i="32"/>
  <c r="J34" i="32"/>
  <c r="K34" i="32"/>
  <c r="L34" i="32"/>
  <c r="N34" i="32"/>
  <c r="O34" i="32"/>
  <c r="Q34" i="32"/>
  <c r="S34" i="32"/>
  <c r="T34" i="32"/>
  <c r="J35" i="32"/>
  <c r="K35" i="32"/>
  <c r="L35" i="32"/>
  <c r="N35" i="32"/>
  <c r="O35" i="32"/>
  <c r="Q35" i="32"/>
  <c r="R35" i="32" s="1"/>
  <c r="S35" i="32"/>
  <c r="T35" i="32"/>
  <c r="T18" i="32"/>
  <c r="S18" i="32"/>
  <c r="Q18" i="32"/>
  <c r="O18" i="32"/>
  <c r="N18" i="32"/>
  <c r="L18" i="32"/>
  <c r="K18" i="32"/>
  <c r="J18" i="32"/>
  <c r="J19" i="41"/>
  <c r="K19" i="41"/>
  <c r="L19" i="41"/>
  <c r="N19" i="41"/>
  <c r="O19" i="41"/>
  <c r="Q19" i="41"/>
  <c r="S19" i="41"/>
  <c r="T19" i="41"/>
  <c r="J20" i="41"/>
  <c r="K20" i="41"/>
  <c r="L20" i="41"/>
  <c r="N20" i="41"/>
  <c r="O20" i="41"/>
  <c r="Q20" i="41"/>
  <c r="S20" i="41"/>
  <c r="T20" i="41"/>
  <c r="J21" i="41"/>
  <c r="K21" i="41"/>
  <c r="L21" i="41"/>
  <c r="N21" i="41"/>
  <c r="O21" i="41"/>
  <c r="Q21" i="41"/>
  <c r="S21" i="41"/>
  <c r="T21" i="41"/>
  <c r="J22" i="41"/>
  <c r="K22" i="41"/>
  <c r="L22" i="41"/>
  <c r="N22" i="41"/>
  <c r="O22" i="41"/>
  <c r="Q22" i="41"/>
  <c r="S22" i="41"/>
  <c r="T22" i="41"/>
  <c r="J23" i="41"/>
  <c r="K23" i="41"/>
  <c r="L23" i="41"/>
  <c r="N23" i="41"/>
  <c r="O23" i="41"/>
  <c r="Q23" i="41"/>
  <c r="S23" i="41"/>
  <c r="T23" i="41"/>
  <c r="J24" i="41"/>
  <c r="K24" i="41"/>
  <c r="L24" i="41"/>
  <c r="N24" i="41"/>
  <c r="O24" i="41"/>
  <c r="Q24" i="41"/>
  <c r="S24" i="41"/>
  <c r="T24" i="41"/>
  <c r="J25" i="41"/>
  <c r="K25" i="41"/>
  <c r="L25" i="41"/>
  <c r="N25" i="41"/>
  <c r="O25" i="41"/>
  <c r="Q25" i="41"/>
  <c r="S25" i="41"/>
  <c r="T25" i="41"/>
  <c r="J26" i="41"/>
  <c r="K26" i="41"/>
  <c r="L26" i="41"/>
  <c r="N26" i="41"/>
  <c r="O26" i="41"/>
  <c r="Q26" i="41"/>
  <c r="S26" i="41"/>
  <c r="T26" i="41"/>
  <c r="J27" i="41"/>
  <c r="K27" i="41"/>
  <c r="L27" i="41"/>
  <c r="N27" i="41"/>
  <c r="O27" i="41"/>
  <c r="Q27" i="41"/>
  <c r="S27" i="41"/>
  <c r="T27" i="41"/>
  <c r="J28" i="41"/>
  <c r="K28" i="41"/>
  <c r="L28" i="41"/>
  <c r="N28" i="41"/>
  <c r="O28" i="41"/>
  <c r="Q28" i="41"/>
  <c r="S28" i="41"/>
  <c r="T28" i="41"/>
  <c r="J29" i="41"/>
  <c r="K29" i="41"/>
  <c r="L29" i="41"/>
  <c r="N29" i="41"/>
  <c r="O29" i="41"/>
  <c r="Q29" i="41"/>
  <c r="S29" i="41"/>
  <c r="T29" i="41"/>
  <c r="J30" i="41"/>
  <c r="K30" i="41"/>
  <c r="L30" i="41"/>
  <c r="N30" i="41"/>
  <c r="O30" i="41"/>
  <c r="Q30" i="41"/>
  <c r="S30" i="41"/>
  <c r="T30" i="41"/>
  <c r="J31" i="41"/>
  <c r="K31" i="41"/>
  <c r="L31" i="41"/>
  <c r="N31" i="41"/>
  <c r="O31" i="41"/>
  <c r="Q31" i="41"/>
  <c r="S31" i="41"/>
  <c r="T31" i="41"/>
  <c r="J32" i="41"/>
  <c r="K32" i="41"/>
  <c r="L32" i="41"/>
  <c r="N32" i="41"/>
  <c r="O32" i="41"/>
  <c r="Q32" i="41"/>
  <c r="S32" i="41"/>
  <c r="T32" i="41"/>
  <c r="J33" i="41"/>
  <c r="K33" i="41"/>
  <c r="L33" i="41"/>
  <c r="N33" i="41"/>
  <c r="O33" i="41"/>
  <c r="Q33" i="41"/>
  <c r="S33" i="41"/>
  <c r="T33" i="41"/>
  <c r="J34" i="41"/>
  <c r="K34" i="41"/>
  <c r="L34" i="41"/>
  <c r="N34" i="41"/>
  <c r="O34" i="41"/>
  <c r="Q34" i="41"/>
  <c r="S34" i="41"/>
  <c r="T34" i="41"/>
  <c r="J35" i="41"/>
  <c r="K35" i="41"/>
  <c r="L35" i="41"/>
  <c r="N35" i="41"/>
  <c r="O35" i="41"/>
  <c r="Q35" i="41"/>
  <c r="S35" i="41"/>
  <c r="T35" i="41"/>
  <c r="J36" i="41"/>
  <c r="K36" i="41"/>
  <c r="L36" i="41"/>
  <c r="N36" i="41"/>
  <c r="O36" i="41"/>
  <c r="Q36" i="41"/>
  <c r="S36" i="41"/>
  <c r="T36" i="41"/>
  <c r="J37" i="41"/>
  <c r="K37" i="41"/>
  <c r="L37" i="41"/>
  <c r="N37" i="41"/>
  <c r="O37" i="41"/>
  <c r="Q37" i="41"/>
  <c r="S37" i="41"/>
  <c r="T37" i="41"/>
  <c r="T18" i="41"/>
  <c r="S18" i="41"/>
  <c r="Q18" i="41"/>
  <c r="O18" i="41"/>
  <c r="N18" i="41"/>
  <c r="L18" i="41"/>
  <c r="K18" i="41"/>
  <c r="J18" i="41"/>
  <c r="J19" i="16"/>
  <c r="N19" i="16"/>
  <c r="O19" i="16"/>
  <c r="Q19" i="16"/>
  <c r="S19" i="16"/>
  <c r="T19" i="16"/>
  <c r="J20" i="16"/>
  <c r="N20" i="16"/>
  <c r="O20" i="16"/>
  <c r="Q20" i="16"/>
  <c r="S20" i="16"/>
  <c r="T20" i="16"/>
  <c r="J21" i="16"/>
  <c r="N21" i="16"/>
  <c r="O21" i="16"/>
  <c r="Q21" i="16"/>
  <c r="S21" i="16"/>
  <c r="T21" i="16"/>
  <c r="J22" i="16"/>
  <c r="N22" i="16"/>
  <c r="O22" i="16"/>
  <c r="Q22" i="16"/>
  <c r="S22" i="16"/>
  <c r="T22" i="16"/>
  <c r="J23" i="16"/>
  <c r="N23" i="16"/>
  <c r="O23" i="16"/>
  <c r="Q23" i="16"/>
  <c r="S23" i="16"/>
  <c r="T23" i="16"/>
  <c r="J24" i="16"/>
  <c r="N24" i="16"/>
  <c r="O24" i="16"/>
  <c r="Q24" i="16"/>
  <c r="S24" i="16"/>
  <c r="T24" i="16"/>
  <c r="J25" i="16"/>
  <c r="N25" i="16"/>
  <c r="O25" i="16"/>
  <c r="Q25" i="16"/>
  <c r="S25" i="16"/>
  <c r="T25" i="16"/>
  <c r="J26" i="16"/>
  <c r="N26" i="16"/>
  <c r="O26" i="16"/>
  <c r="Q26" i="16"/>
  <c r="S26" i="16"/>
  <c r="T26" i="16"/>
  <c r="J27" i="16"/>
  <c r="N27" i="16"/>
  <c r="O27" i="16"/>
  <c r="Q27" i="16"/>
  <c r="S27" i="16"/>
  <c r="T27" i="16"/>
  <c r="J28" i="16"/>
  <c r="N28" i="16"/>
  <c r="O28" i="16"/>
  <c r="Q28" i="16"/>
  <c r="S28" i="16"/>
  <c r="T28" i="16"/>
  <c r="J29" i="16"/>
  <c r="N29" i="16"/>
  <c r="O29" i="16"/>
  <c r="Q29" i="16"/>
  <c r="S29" i="16"/>
  <c r="T29" i="16"/>
  <c r="J30" i="16"/>
  <c r="N30" i="16"/>
  <c r="O30" i="16"/>
  <c r="Q30" i="16"/>
  <c r="S30" i="16"/>
  <c r="T30" i="16"/>
  <c r="J31" i="16"/>
  <c r="N31" i="16"/>
  <c r="O31" i="16"/>
  <c r="Q31" i="16"/>
  <c r="S31" i="16"/>
  <c r="T31" i="16"/>
  <c r="J32" i="16"/>
  <c r="N32" i="16"/>
  <c r="O32" i="16"/>
  <c r="Q32" i="16"/>
  <c r="S32" i="16"/>
  <c r="T32" i="16"/>
  <c r="J33" i="16"/>
  <c r="N33" i="16"/>
  <c r="O33" i="16"/>
  <c r="Q33" i="16"/>
  <c r="S33" i="16"/>
  <c r="T33" i="16"/>
  <c r="J34" i="16"/>
  <c r="N34" i="16"/>
  <c r="O34" i="16"/>
  <c r="Q34" i="16"/>
  <c r="S34" i="16"/>
  <c r="T34" i="16"/>
  <c r="J35" i="16"/>
  <c r="N35" i="16"/>
  <c r="O35" i="16"/>
  <c r="Q35" i="16"/>
  <c r="S35" i="16"/>
  <c r="T35" i="16"/>
  <c r="J36" i="16"/>
  <c r="N36" i="16"/>
  <c r="O36" i="16"/>
  <c r="Q36" i="16"/>
  <c r="S36" i="16"/>
  <c r="T36" i="16"/>
  <c r="Q18" i="16"/>
  <c r="M31" i="41" l="1"/>
  <c r="M40" i="41"/>
  <c r="P40" i="41" s="1"/>
  <c r="R40" i="41"/>
  <c r="U40" i="41" s="1"/>
  <c r="H42" i="41"/>
  <c r="K41" i="41"/>
  <c r="V38" i="41"/>
  <c r="W38" i="41" s="1"/>
  <c r="R31" i="41"/>
  <c r="U31" i="41" s="1"/>
  <c r="R36" i="41"/>
  <c r="U36" i="41" s="1"/>
  <c r="R24" i="41"/>
  <c r="U24" i="41" s="1"/>
  <c r="M32" i="41"/>
  <c r="P32" i="41" s="1"/>
  <c r="M24" i="41"/>
  <c r="P24" i="41" s="1"/>
  <c r="R35" i="41"/>
  <c r="U35" i="41" s="1"/>
  <c r="M37" i="41"/>
  <c r="P37" i="41" s="1"/>
  <c r="V37" i="41" s="1"/>
  <c r="M35" i="41"/>
  <c r="P35" i="41" s="1"/>
  <c r="M29" i="41"/>
  <c r="P29" i="41" s="1"/>
  <c r="M21" i="41"/>
  <c r="P21" i="41" s="1"/>
  <c r="U42" i="42"/>
  <c r="P42" i="42"/>
  <c r="V42" i="42" s="1"/>
  <c r="M41" i="42"/>
  <c r="P41" i="42" s="1"/>
  <c r="P40" i="42"/>
  <c r="V40" i="42"/>
  <c r="R39" i="42"/>
  <c r="U39" i="42" s="1"/>
  <c r="M39" i="42"/>
  <c r="P39" i="42" s="1"/>
  <c r="U38" i="42"/>
  <c r="R37" i="42"/>
  <c r="U37" i="42" s="1"/>
  <c r="M36" i="42"/>
  <c r="P36" i="42" s="1"/>
  <c r="U36" i="42"/>
  <c r="P35" i="42"/>
  <c r="R35" i="42"/>
  <c r="M34" i="42"/>
  <c r="P34" i="42" s="1"/>
  <c r="R32" i="42"/>
  <c r="U32" i="42" s="1"/>
  <c r="R31" i="42"/>
  <c r="U31" i="42" s="1"/>
  <c r="M30" i="42"/>
  <c r="P30" i="42" s="1"/>
  <c r="P29" i="42"/>
  <c r="M28" i="42"/>
  <c r="P28" i="42" s="1"/>
  <c r="R27" i="42"/>
  <c r="U27" i="42" s="1"/>
  <c r="R26" i="42"/>
  <c r="M26" i="42"/>
  <c r="P26" i="42" s="1"/>
  <c r="M25" i="42"/>
  <c r="P25" i="42" s="1"/>
  <c r="P24" i="42"/>
  <c r="U24" i="42"/>
  <c r="M23" i="42"/>
  <c r="P23" i="42" s="1"/>
  <c r="U22" i="42"/>
  <c r="V22" i="42" s="1"/>
  <c r="R21" i="42"/>
  <c r="M20" i="42"/>
  <c r="P20" i="42" s="1"/>
  <c r="M19" i="42"/>
  <c r="P19" i="42" s="1"/>
  <c r="M18" i="42"/>
  <c r="R18" i="42"/>
  <c r="V24" i="42"/>
  <c r="U20" i="42"/>
  <c r="V33" i="42"/>
  <c r="V29" i="42"/>
  <c r="V20" i="42"/>
  <c r="V38" i="42"/>
  <c r="U21" i="42"/>
  <c r="U19" i="42"/>
  <c r="V32" i="42"/>
  <c r="U26" i="42"/>
  <c r="V41" i="42"/>
  <c r="U35" i="42"/>
  <c r="V35" i="42" s="1"/>
  <c r="M31" i="42"/>
  <c r="P31" i="42" s="1"/>
  <c r="M37" i="42"/>
  <c r="P37" i="42" s="1"/>
  <c r="R28" i="42"/>
  <c r="U28" i="42" s="1"/>
  <c r="M21" i="42"/>
  <c r="P21" i="42" s="1"/>
  <c r="R23" i="42"/>
  <c r="U23" i="42" s="1"/>
  <c r="V23" i="42" s="1"/>
  <c r="R34" i="42"/>
  <c r="U34" i="42" s="1"/>
  <c r="V34" i="42" s="1"/>
  <c r="M27" i="42"/>
  <c r="P27" i="42" s="1"/>
  <c r="V27" i="42" s="1"/>
  <c r="R19" i="42"/>
  <c r="R30" i="42"/>
  <c r="U30" i="42" s="1"/>
  <c r="V30" i="42" s="1"/>
  <c r="R41" i="42"/>
  <c r="U41" i="42" s="1"/>
  <c r="R25" i="42"/>
  <c r="U25" i="42" s="1"/>
  <c r="V25" i="42" s="1"/>
  <c r="P18" i="42"/>
  <c r="U18" i="42"/>
  <c r="R33" i="32"/>
  <c r="U33" i="32"/>
  <c r="M32" i="32"/>
  <c r="P32" i="32" s="1"/>
  <c r="M31" i="32"/>
  <c r="M30" i="32"/>
  <c r="P30" i="32" s="1"/>
  <c r="R29" i="32"/>
  <c r="U29" i="32" s="1"/>
  <c r="R26" i="32"/>
  <c r="V29" i="32"/>
  <c r="U22" i="32"/>
  <c r="M34" i="32"/>
  <c r="P34" i="32" s="1"/>
  <c r="R32" i="32"/>
  <c r="U32" i="32" s="1"/>
  <c r="V32" i="32" s="1"/>
  <c r="U35" i="32"/>
  <c r="P24" i="32"/>
  <c r="M28" i="32"/>
  <c r="P28" i="32" s="1"/>
  <c r="P35" i="32"/>
  <c r="V35" i="32" s="1"/>
  <c r="P33" i="32"/>
  <c r="V33" i="32" s="1"/>
  <c r="M22" i="32"/>
  <c r="P22" i="32" s="1"/>
  <c r="V22" i="32" s="1"/>
  <c r="R31" i="32"/>
  <c r="U31" i="32" s="1"/>
  <c r="P31" i="32"/>
  <c r="R18" i="32"/>
  <c r="U18" i="32" s="1"/>
  <c r="M35" i="32"/>
  <c r="M33" i="32"/>
  <c r="M27" i="32"/>
  <c r="P27" i="32" s="1"/>
  <c r="M25" i="32"/>
  <c r="P25" i="32" s="1"/>
  <c r="M23" i="32"/>
  <c r="P23" i="32" s="1"/>
  <c r="R21" i="32"/>
  <c r="U21" i="32" s="1"/>
  <c r="M19" i="32"/>
  <c r="P19" i="32" s="1"/>
  <c r="V20" i="32"/>
  <c r="U34" i="32"/>
  <c r="U30" i="32"/>
  <c r="V30" i="32" s="1"/>
  <c r="U26" i="32"/>
  <c r="U24" i="32"/>
  <c r="M26" i="32"/>
  <c r="P26" i="32" s="1"/>
  <c r="R27" i="32"/>
  <c r="U27" i="32" s="1"/>
  <c r="R28" i="32"/>
  <c r="U28" i="32" s="1"/>
  <c r="M21" i="32"/>
  <c r="P21" i="32" s="1"/>
  <c r="R23" i="32"/>
  <c r="U23" i="32" s="1"/>
  <c r="R34" i="32"/>
  <c r="R19" i="32"/>
  <c r="U19" i="32" s="1"/>
  <c r="R30" i="32"/>
  <c r="R25" i="32"/>
  <c r="U25" i="32" s="1"/>
  <c r="M18" i="32"/>
  <c r="P18" i="32" s="1"/>
  <c r="R37" i="41"/>
  <c r="U37" i="41" s="1"/>
  <c r="M36" i="41"/>
  <c r="P36" i="41" s="1"/>
  <c r="M34" i="41"/>
  <c r="P34" i="41" s="1"/>
  <c r="M33" i="41"/>
  <c r="P33" i="41" s="1"/>
  <c r="R32" i="41"/>
  <c r="U32" i="41" s="1"/>
  <c r="V32" i="41" s="1"/>
  <c r="P31" i="41"/>
  <c r="M30" i="41"/>
  <c r="P30" i="41" s="1"/>
  <c r="R29" i="41"/>
  <c r="U29" i="41" s="1"/>
  <c r="M28" i="41"/>
  <c r="P28" i="41" s="1"/>
  <c r="R27" i="41"/>
  <c r="U27" i="41" s="1"/>
  <c r="R26" i="41"/>
  <c r="U26" i="41" s="1"/>
  <c r="M25" i="41"/>
  <c r="P25" i="41" s="1"/>
  <c r="M23" i="41"/>
  <c r="P23" i="41" s="1"/>
  <c r="M22" i="41"/>
  <c r="P22" i="41" s="1"/>
  <c r="R21" i="41"/>
  <c r="U21" i="41" s="1"/>
  <c r="M20" i="41"/>
  <c r="P20" i="41" s="1"/>
  <c r="M19" i="41"/>
  <c r="P19" i="41" s="1"/>
  <c r="R18" i="41"/>
  <c r="U18" i="41" s="1"/>
  <c r="R22" i="41"/>
  <c r="U22" i="41" s="1"/>
  <c r="R33" i="41"/>
  <c r="U33" i="41" s="1"/>
  <c r="V33" i="41" s="1"/>
  <c r="M26" i="41"/>
  <c r="P26" i="41" s="1"/>
  <c r="R34" i="41"/>
  <c r="U34" i="41" s="1"/>
  <c r="M27" i="41"/>
  <c r="P27" i="41" s="1"/>
  <c r="R23" i="41"/>
  <c r="U23" i="41" s="1"/>
  <c r="R28" i="41"/>
  <c r="U28" i="41" s="1"/>
  <c r="R19" i="41"/>
  <c r="U19" i="41" s="1"/>
  <c r="R30" i="41"/>
  <c r="U30" i="41" s="1"/>
  <c r="V30" i="41" s="1"/>
  <c r="R25" i="41"/>
  <c r="U25" i="41" s="1"/>
  <c r="R20" i="41"/>
  <c r="U20" i="41" s="1"/>
  <c r="M18" i="41"/>
  <c r="P18" i="41" s="1"/>
  <c r="V40" i="41" l="1"/>
  <c r="W40" i="41" s="1"/>
  <c r="V20" i="41"/>
  <c r="R41" i="41"/>
  <c r="U41" i="41" s="1"/>
  <c r="M41" i="41"/>
  <c r="P41" i="41" s="1"/>
  <c r="K42" i="41"/>
  <c r="H43" i="41"/>
  <c r="K43" i="41" s="1"/>
  <c r="V36" i="41"/>
  <c r="V35" i="41"/>
  <c r="V29" i="41"/>
  <c r="V27" i="41"/>
  <c r="V22" i="41"/>
  <c r="V24" i="41"/>
  <c r="V31" i="41"/>
  <c r="V18" i="41"/>
  <c r="V25" i="41"/>
  <c r="V28" i="41"/>
  <c r="V39" i="42"/>
  <c r="V37" i="42"/>
  <c r="V36" i="42"/>
  <c r="V31" i="42"/>
  <c r="V28" i="42"/>
  <c r="V26" i="42"/>
  <c r="V21" i="42"/>
  <c r="V19" i="42"/>
  <c r="V18" i="42"/>
  <c r="V31" i="32"/>
  <c r="V28" i="32"/>
  <c r="V27" i="32"/>
  <c r="V24" i="32"/>
  <c r="V23" i="32"/>
  <c r="V21" i="32"/>
  <c r="V19" i="32"/>
  <c r="V18" i="32"/>
  <c r="V26" i="32"/>
  <c r="V25" i="32"/>
  <c r="V34" i="32"/>
  <c r="V26" i="41"/>
  <c r="V23" i="41"/>
  <c r="V21" i="41"/>
  <c r="V19" i="41"/>
  <c r="V34" i="41"/>
  <c r="M42" i="41" l="1"/>
  <c r="P42" i="41" s="1"/>
  <c r="R42" i="41"/>
  <c r="U42" i="41" s="1"/>
  <c r="M43" i="41"/>
  <c r="P43" i="41" s="1"/>
  <c r="R43" i="41"/>
  <c r="U43" i="41" s="1"/>
  <c r="V41" i="41"/>
  <c r="W41" i="41" s="1"/>
  <c r="G40" i="42"/>
  <c r="H40" i="42"/>
  <c r="H41" i="42" s="1"/>
  <c r="G41" i="42"/>
  <c r="G42" i="42" s="1"/>
  <c r="V43" i="41" l="1"/>
  <c r="W43" i="41" s="1"/>
  <c r="V42" i="41"/>
  <c r="W42" i="41" s="1"/>
  <c r="H42" i="42"/>
  <c r="W40" i="42"/>
  <c r="X19" i="41"/>
  <c r="X20" i="41" s="1"/>
  <c r="X21" i="41" s="1"/>
  <c r="X22" i="41" s="1"/>
  <c r="X23" i="41" s="1"/>
  <c r="X24" i="41" s="1"/>
  <c r="X25" i="41" s="1"/>
  <c r="X26" i="41" s="1"/>
  <c r="X27" i="41" s="1"/>
  <c r="X28" i="41" s="1"/>
  <c r="X29" i="41" s="1"/>
  <c r="X30" i="41" s="1"/>
  <c r="X31" i="41" s="1"/>
  <c r="X32" i="41" s="1"/>
  <c r="X33" i="41" s="1"/>
  <c r="X34" i="41" s="1"/>
  <c r="X35" i="41" s="1"/>
  <c r="X36" i="41" s="1"/>
  <c r="X37" i="41" s="1"/>
  <c r="C10" i="41"/>
  <c r="H23" i="15"/>
  <c r="F22" i="15"/>
  <c r="D22" i="15" s="1"/>
  <c r="D21" i="15"/>
  <c r="G21" i="15" s="1"/>
  <c r="I21" i="15" s="1"/>
  <c r="D20" i="15"/>
  <c r="K20" i="15" s="1"/>
  <c r="L20" i="15" s="1"/>
  <c r="K19" i="15"/>
  <c r="L19" i="15" s="1"/>
  <c r="G19" i="15"/>
  <c r="I19" i="15" s="1"/>
  <c r="F19" i="15"/>
  <c r="M18" i="15"/>
  <c r="K18" i="15"/>
  <c r="L18" i="15" s="1"/>
  <c r="G18" i="15"/>
  <c r="I18" i="15" s="1"/>
  <c r="F18" i="15"/>
  <c r="K17" i="15"/>
  <c r="L17" i="15" s="1"/>
  <c r="G17" i="15"/>
  <c r="I17" i="15" s="1"/>
  <c r="N17" i="15" s="1"/>
  <c r="O17" i="15" s="1"/>
  <c r="F17" i="15"/>
  <c r="M6" i="15"/>
  <c r="M7" i="15" s="1"/>
  <c r="M8" i="15" s="1"/>
  <c r="M9" i="15" s="1"/>
  <c r="M10" i="15" s="1"/>
  <c r="W42" i="42" l="1"/>
  <c r="W41" i="42"/>
  <c r="K22" i="15"/>
  <c r="L22" i="15" s="1"/>
  <c r="G22" i="15"/>
  <c r="I22" i="15" s="1"/>
  <c r="N18" i="15"/>
  <c r="M19" i="15"/>
  <c r="K21" i="15"/>
  <c r="L21" i="15" s="1"/>
  <c r="L23" i="15" s="1"/>
  <c r="G20" i="15"/>
  <c r="I20" i="15" s="1"/>
  <c r="H39" i="29"/>
  <c r="P2" i="29"/>
  <c r="P9" i="29"/>
  <c r="P10" i="29"/>
  <c r="P11" i="29"/>
  <c r="P12" i="29"/>
  <c r="P13" i="29"/>
  <c r="M20" i="15" l="1"/>
  <c r="N19" i="15"/>
  <c r="O19" i="15" s="1"/>
  <c r="O18" i="15"/>
  <c r="H11" i="15"/>
  <c r="D95" i="29"/>
  <c r="D96" i="29"/>
  <c r="D97" i="29"/>
  <c r="D98" i="29"/>
  <c r="D99" i="29"/>
  <c r="D100" i="29"/>
  <c r="D101" i="29"/>
  <c r="D102" i="29"/>
  <c r="D103" i="29"/>
  <c r="D104" i="29"/>
  <c r="D105" i="29"/>
  <c r="D106" i="29"/>
  <c r="D107" i="29"/>
  <c r="D108" i="29"/>
  <c r="D109" i="29"/>
  <c r="D110" i="29"/>
  <c r="D111" i="29"/>
  <c r="D112" i="29"/>
  <c r="D113" i="29"/>
  <c r="D114" i="29"/>
  <c r="D115" i="29"/>
  <c r="D116" i="29"/>
  <c r="D117" i="29"/>
  <c r="D118" i="29"/>
  <c r="D119" i="29"/>
  <c r="D120" i="29"/>
  <c r="D121" i="29"/>
  <c r="D122" i="29"/>
  <c r="D123" i="29"/>
  <c r="D124" i="29"/>
  <c r="D125" i="29"/>
  <c r="D126" i="29"/>
  <c r="D127" i="29"/>
  <c r="D128" i="29"/>
  <c r="D129" i="29"/>
  <c r="D130" i="29"/>
  <c r="D131" i="29"/>
  <c r="D132" i="29"/>
  <c r="D133" i="29"/>
  <c r="D134" i="29"/>
  <c r="D135" i="29"/>
  <c r="D136" i="29"/>
  <c r="D137" i="29"/>
  <c r="D138" i="29"/>
  <c r="D139" i="29"/>
  <c r="D140" i="29"/>
  <c r="D141" i="29"/>
  <c r="D142" i="29"/>
  <c r="D143" i="29"/>
  <c r="D144" i="29"/>
  <c r="D145" i="29"/>
  <c r="D146" i="29"/>
  <c r="D147" i="29"/>
  <c r="D148" i="29"/>
  <c r="D149" i="29"/>
  <c r="D150" i="29"/>
  <c r="D151" i="29"/>
  <c r="D152" i="29"/>
  <c r="D153" i="29"/>
  <c r="D154" i="29"/>
  <c r="D155" i="29"/>
  <c r="D156" i="29"/>
  <c r="D157" i="29"/>
  <c r="D158" i="29"/>
  <c r="D159" i="29"/>
  <c r="D160" i="29"/>
  <c r="D161" i="29"/>
  <c r="D162" i="29"/>
  <c r="D163" i="29"/>
  <c r="D164" i="29"/>
  <c r="D165" i="29"/>
  <c r="D166" i="29"/>
  <c r="D167" i="29"/>
  <c r="D168" i="29"/>
  <c r="D169" i="29"/>
  <c r="D170" i="29"/>
  <c r="D171" i="29"/>
  <c r="D172" i="29"/>
  <c r="D173" i="29"/>
  <c r="D174" i="29"/>
  <c r="D175" i="29"/>
  <c r="D176" i="29"/>
  <c r="D177" i="29"/>
  <c r="D178" i="29"/>
  <c r="D179" i="29"/>
  <c r="D180" i="29"/>
  <c r="D181" i="29"/>
  <c r="D182" i="29"/>
  <c r="D183" i="29"/>
  <c r="D184" i="29"/>
  <c r="D185" i="29"/>
  <c r="D186" i="29"/>
  <c r="D187" i="29"/>
  <c r="D188" i="29"/>
  <c r="D189" i="29"/>
  <c r="D190" i="29"/>
  <c r="D191" i="29"/>
  <c r="D192" i="29"/>
  <c r="D193" i="29"/>
  <c r="D194" i="29"/>
  <c r="D195" i="29"/>
  <c r="D196" i="29"/>
  <c r="D197" i="29"/>
  <c r="D198" i="29"/>
  <c r="D199" i="29"/>
  <c r="D200" i="29"/>
  <c r="D201" i="29"/>
  <c r="D202" i="29"/>
  <c r="D203" i="29"/>
  <c r="D204" i="29"/>
  <c r="D205" i="29"/>
  <c r="D206" i="29"/>
  <c r="D207" i="29"/>
  <c r="D208" i="29"/>
  <c r="D209" i="29"/>
  <c r="D210" i="29"/>
  <c r="D211" i="29"/>
  <c r="D212" i="29"/>
  <c r="D213" i="29"/>
  <c r="D214" i="29"/>
  <c r="D215" i="29"/>
  <c r="D216" i="29"/>
  <c r="D217" i="29"/>
  <c r="D218" i="29"/>
  <c r="D219" i="29"/>
  <c r="D220" i="29"/>
  <c r="D221" i="29"/>
  <c r="D222" i="29"/>
  <c r="D223" i="29"/>
  <c r="D224" i="29"/>
  <c r="D225" i="29"/>
  <c r="D226" i="29"/>
  <c r="D227" i="29"/>
  <c r="D228" i="29"/>
  <c r="D229" i="29"/>
  <c r="D230" i="29"/>
  <c r="D231" i="29"/>
  <c r="D232" i="29"/>
  <c r="D233" i="29"/>
  <c r="D234" i="29"/>
  <c r="D235" i="29"/>
  <c r="D236" i="29"/>
  <c r="D237" i="29"/>
  <c r="D238" i="29"/>
  <c r="D239" i="29"/>
  <c r="D240" i="29"/>
  <c r="D241" i="29"/>
  <c r="D242" i="29"/>
  <c r="D243" i="29"/>
  <c r="D244" i="29"/>
  <c r="D245" i="29"/>
  <c r="D246" i="29"/>
  <c r="D247" i="29"/>
  <c r="D248" i="29"/>
  <c r="D249" i="29"/>
  <c r="D250" i="29"/>
  <c r="D251" i="29"/>
  <c r="D252" i="29"/>
  <c r="D253" i="29"/>
  <c r="D254" i="29"/>
  <c r="D255" i="29"/>
  <c r="D256" i="29"/>
  <c r="D257" i="29"/>
  <c r="D258" i="29"/>
  <c r="D259" i="29"/>
  <c r="D260" i="29"/>
  <c r="D261" i="29"/>
  <c r="D262" i="29"/>
  <c r="D263" i="29"/>
  <c r="D264" i="29"/>
  <c r="D265" i="29"/>
  <c r="D266" i="29"/>
  <c r="D267" i="29"/>
  <c r="D268" i="29"/>
  <c r="D269" i="29"/>
  <c r="D270" i="29"/>
  <c r="D271" i="29"/>
  <c r="D272" i="29"/>
  <c r="D273" i="29"/>
  <c r="D274" i="29"/>
  <c r="D275" i="29"/>
  <c r="D276" i="29"/>
  <c r="D277" i="29"/>
  <c r="D278" i="29"/>
  <c r="D279" i="29"/>
  <c r="D280" i="29"/>
  <c r="D281" i="29"/>
  <c r="D282" i="29"/>
  <c r="D283" i="29"/>
  <c r="D284" i="29"/>
  <c r="D285" i="29"/>
  <c r="D286" i="29"/>
  <c r="D287" i="29"/>
  <c r="D288" i="29"/>
  <c r="D289" i="29"/>
  <c r="D290" i="29"/>
  <c r="D26" i="29"/>
  <c r="D27" i="29"/>
  <c r="D28" i="29"/>
  <c r="D29" i="29"/>
  <c r="D30" i="29"/>
  <c r="D31" i="29"/>
  <c r="D32" i="29"/>
  <c r="D33" i="29"/>
  <c r="D34" i="29"/>
  <c r="D35" i="29"/>
  <c r="D36" i="29"/>
  <c r="D37" i="29"/>
  <c r="D38" i="29"/>
  <c r="D39" i="29"/>
  <c r="D40" i="29"/>
  <c r="D41" i="29"/>
  <c r="D42" i="29"/>
  <c r="D43" i="29"/>
  <c r="D44" i="29"/>
  <c r="D45" i="29"/>
  <c r="D46" i="29"/>
  <c r="D47" i="29"/>
  <c r="D48" i="29"/>
  <c r="D49" i="29"/>
  <c r="D50" i="29"/>
  <c r="D51" i="29"/>
  <c r="D52" i="29"/>
  <c r="D53" i="29"/>
  <c r="D54" i="29"/>
  <c r="D55" i="29"/>
  <c r="D56" i="29"/>
  <c r="D57" i="29"/>
  <c r="D58" i="29"/>
  <c r="D59" i="29"/>
  <c r="D60" i="29"/>
  <c r="D61" i="29"/>
  <c r="D62" i="29"/>
  <c r="D63" i="29"/>
  <c r="D64" i="29"/>
  <c r="D65" i="29"/>
  <c r="D66" i="29"/>
  <c r="D67" i="29"/>
  <c r="D68" i="29"/>
  <c r="D69" i="29"/>
  <c r="D70" i="29"/>
  <c r="D71" i="29"/>
  <c r="D72" i="29"/>
  <c r="D73" i="29"/>
  <c r="D74" i="29"/>
  <c r="D75" i="29"/>
  <c r="D76" i="29"/>
  <c r="D77" i="29"/>
  <c r="D78" i="29"/>
  <c r="D79" i="29"/>
  <c r="D80" i="29"/>
  <c r="D81" i="29"/>
  <c r="D82" i="29"/>
  <c r="D83" i="29"/>
  <c r="D84" i="29"/>
  <c r="D85" i="29"/>
  <c r="D86" i="29"/>
  <c r="D87" i="29"/>
  <c r="D88" i="29"/>
  <c r="D89" i="29"/>
  <c r="D90" i="29"/>
  <c r="D91" i="29"/>
  <c r="D92" i="29"/>
  <c r="D93" i="29"/>
  <c r="D94" i="29"/>
  <c r="D25" i="29"/>
  <c r="P8" i="29"/>
  <c r="N20" i="15" l="1"/>
  <c r="M21" i="15"/>
  <c r="Z38" i="33"/>
  <c r="Z37" i="33"/>
  <c r="Z36" i="33"/>
  <c r="Z35" i="33"/>
  <c r="Z34" i="33"/>
  <c r="Z33" i="33"/>
  <c r="Z32" i="33"/>
  <c r="Z31" i="33"/>
  <c r="Z30" i="33"/>
  <c r="Z29" i="33"/>
  <c r="Z28" i="33"/>
  <c r="Z27" i="33"/>
  <c r="Z26" i="33"/>
  <c r="Z25" i="33"/>
  <c r="V38" i="33"/>
  <c r="V37" i="33"/>
  <c r="V36" i="33"/>
  <c r="V35" i="33"/>
  <c r="V34" i="33"/>
  <c r="V33" i="33"/>
  <c r="V32" i="33"/>
  <c r="V31" i="33"/>
  <c r="V30" i="33"/>
  <c r="V29" i="33"/>
  <c r="V28" i="33"/>
  <c r="V27" i="33"/>
  <c r="V26" i="33"/>
  <c r="V25" i="33"/>
  <c r="Z21" i="33"/>
  <c r="Z20" i="33"/>
  <c r="Z19" i="33"/>
  <c r="Z18" i="33"/>
  <c r="Z17" i="33"/>
  <c r="Z16" i="33"/>
  <c r="Z15" i="33"/>
  <c r="Z14" i="33"/>
  <c r="Z13" i="33"/>
  <c r="Z12" i="33"/>
  <c r="Z11" i="33"/>
  <c r="Z10" i="33"/>
  <c r="Z9" i="33"/>
  <c r="Z8" i="33"/>
  <c r="V9" i="33"/>
  <c r="V10" i="33"/>
  <c r="V11" i="33"/>
  <c r="V12" i="33"/>
  <c r="V13" i="33"/>
  <c r="V14" i="33"/>
  <c r="V15" i="33"/>
  <c r="V16" i="33"/>
  <c r="V17" i="33"/>
  <c r="V18" i="33"/>
  <c r="V19" i="33"/>
  <c r="V20" i="33"/>
  <c r="V21" i="33"/>
  <c r="V8" i="33"/>
  <c r="M22" i="15" l="1"/>
  <c r="N22" i="15" s="1"/>
  <c r="O22" i="15" s="1"/>
  <c r="N21" i="15"/>
  <c r="O21" i="15" s="1"/>
  <c r="O20" i="15"/>
  <c r="I58" i="29"/>
  <c r="I59" i="29"/>
  <c r="I60" i="29"/>
  <c r="I61" i="29"/>
  <c r="I62" i="29"/>
  <c r="I63" i="29"/>
  <c r="I64" i="29"/>
  <c r="I65" i="29"/>
  <c r="I66" i="29"/>
  <c r="I57" i="29"/>
  <c r="M58" i="29"/>
  <c r="M59" i="29"/>
  <c r="M60" i="29"/>
  <c r="M61" i="29"/>
  <c r="M62" i="29"/>
  <c r="M63" i="29"/>
  <c r="M64" i="29"/>
  <c r="M65" i="29"/>
  <c r="M66" i="29"/>
  <c r="M67" i="29"/>
  <c r="M68" i="29"/>
  <c r="M69" i="29"/>
  <c r="M70" i="29"/>
  <c r="M71" i="29"/>
  <c r="M72" i="29"/>
  <c r="M73" i="29"/>
  <c r="M57" i="29"/>
  <c r="N23" i="15" l="1"/>
  <c r="F10" i="15"/>
  <c r="D10" i="15" s="1"/>
  <c r="D9" i="15"/>
  <c r="D8" i="15"/>
  <c r="F10" i="33"/>
  <c r="G10" i="33"/>
  <c r="F11" i="33"/>
  <c r="G11" i="33"/>
  <c r="F12" i="33"/>
  <c r="G12" i="33"/>
  <c r="F13" i="33"/>
  <c r="G13" i="33"/>
  <c r="F14" i="33"/>
  <c r="G14" i="33"/>
  <c r="F15" i="33"/>
  <c r="G15" i="33"/>
  <c r="F16" i="33"/>
  <c r="G16" i="33"/>
  <c r="F17" i="33"/>
  <c r="G17" i="33"/>
  <c r="F18" i="33"/>
  <c r="G18" i="33"/>
  <c r="F19" i="33"/>
  <c r="G19" i="33"/>
  <c r="F20" i="33"/>
  <c r="G20" i="33"/>
  <c r="F21" i="33"/>
  <c r="G21" i="33"/>
  <c r="F22" i="33"/>
  <c r="G22" i="33"/>
  <c r="F23" i="33"/>
  <c r="G23" i="33"/>
  <c r="G9" i="33"/>
  <c r="F9" i="33"/>
  <c r="M5" i="33"/>
  <c r="M4" i="33"/>
  <c r="M3" i="33"/>
  <c r="F35" i="42"/>
  <c r="F34" i="42"/>
  <c r="F33" i="42"/>
  <c r="F32" i="42"/>
  <c r="F31" i="42"/>
  <c r="F30" i="42"/>
  <c r="F29" i="42"/>
  <c r="F28" i="42"/>
  <c r="F27" i="42"/>
  <c r="F26" i="42"/>
  <c r="F25" i="42"/>
  <c r="F24" i="42"/>
  <c r="F23" i="42"/>
  <c r="F22" i="42"/>
  <c r="F21" i="42"/>
  <c r="F20" i="42"/>
  <c r="H19" i="42"/>
  <c r="H20" i="42" s="1"/>
  <c r="G19" i="42"/>
  <c r="G20" i="42" s="1"/>
  <c r="G21" i="42" s="1"/>
  <c r="G22" i="42" s="1"/>
  <c r="G23" i="42" s="1"/>
  <c r="G24" i="42" s="1"/>
  <c r="G25" i="42" s="1"/>
  <c r="G26" i="42" s="1"/>
  <c r="G27" i="42" s="1"/>
  <c r="G28" i="42" s="1"/>
  <c r="G29" i="42" s="1"/>
  <c r="G30" i="42" s="1"/>
  <c r="G31" i="42" s="1"/>
  <c r="G32" i="42" s="1"/>
  <c r="G33" i="42" s="1"/>
  <c r="G34" i="42" s="1"/>
  <c r="G35" i="42" s="1"/>
  <c r="G36" i="42" s="1"/>
  <c r="G37" i="42" s="1"/>
  <c r="G38" i="42" s="1"/>
  <c r="G39" i="42" s="1"/>
  <c r="F19" i="42"/>
  <c r="F18" i="42"/>
  <c r="C12" i="42"/>
  <c r="C10" i="42"/>
  <c r="C4" i="42"/>
  <c r="C12" i="32"/>
  <c r="C11" i="32" s="1"/>
  <c r="C10" i="32"/>
  <c r="C4" i="32"/>
  <c r="F36" i="41"/>
  <c r="F35" i="41"/>
  <c r="F34" i="41"/>
  <c r="F33" i="41"/>
  <c r="F32" i="41"/>
  <c r="F31" i="41"/>
  <c r="F30" i="41"/>
  <c r="F29" i="41"/>
  <c r="F28" i="41"/>
  <c r="F27" i="41"/>
  <c r="F26" i="41"/>
  <c r="F25" i="41"/>
  <c r="F24" i="41"/>
  <c r="F23" i="41"/>
  <c r="F22" i="41"/>
  <c r="F21" i="41"/>
  <c r="G20" i="41"/>
  <c r="G21" i="41" s="1"/>
  <c r="G22" i="41" s="1"/>
  <c r="G23" i="41" s="1"/>
  <c r="G24" i="41" s="1"/>
  <c r="G25" i="41" s="1"/>
  <c r="G26" i="41" s="1"/>
  <c r="G27" i="41" s="1"/>
  <c r="G28" i="41" s="1"/>
  <c r="G29" i="41" s="1"/>
  <c r="G30" i="41" s="1"/>
  <c r="G31" i="41" s="1"/>
  <c r="G32" i="41" s="1"/>
  <c r="G33" i="41" s="1"/>
  <c r="G34" i="41" s="1"/>
  <c r="G35" i="41" s="1"/>
  <c r="G36" i="41" s="1"/>
  <c r="G37" i="41" s="1"/>
  <c r="F20" i="41"/>
  <c r="H19" i="41"/>
  <c r="H20" i="41" s="1"/>
  <c r="G19" i="41"/>
  <c r="F19" i="41"/>
  <c r="F18" i="41"/>
  <c r="F5" i="41"/>
  <c r="C4" i="41" s="1"/>
  <c r="F5" i="16"/>
  <c r="U7" i="16" l="1"/>
  <c r="L18" i="16"/>
  <c r="L19" i="16"/>
  <c r="L21" i="16"/>
  <c r="L23" i="16"/>
  <c r="L25" i="16"/>
  <c r="L27" i="16"/>
  <c r="L29" i="16"/>
  <c r="L31" i="16"/>
  <c r="L33" i="16"/>
  <c r="L35" i="16"/>
  <c r="L22" i="16"/>
  <c r="L30" i="16"/>
  <c r="L34" i="16"/>
  <c r="L20" i="16"/>
  <c r="L24" i="16"/>
  <c r="L26" i="16"/>
  <c r="L28" i="16"/>
  <c r="L32" i="16"/>
  <c r="L36" i="16"/>
  <c r="K23" i="33"/>
  <c r="K22" i="33"/>
  <c r="K21" i="33"/>
  <c r="K20" i="33"/>
  <c r="K19" i="33"/>
  <c r="K18" i="33"/>
  <c r="K17" i="33"/>
  <c r="K16" i="33"/>
  <c r="K15" i="33"/>
  <c r="K14" i="33"/>
  <c r="K13" i="33"/>
  <c r="K12" i="33"/>
  <c r="K11" i="33"/>
  <c r="K10" i="33"/>
  <c r="K9" i="33"/>
  <c r="H21" i="42"/>
  <c r="C11" i="42"/>
  <c r="H21" i="41"/>
  <c r="H22" i="42" l="1"/>
  <c r="W18" i="42"/>
  <c r="W19" i="42"/>
  <c r="W18" i="41"/>
  <c r="H22" i="41"/>
  <c r="W21" i="41" l="1"/>
  <c r="W20" i="42"/>
  <c r="W19" i="41"/>
  <c r="W20" i="41"/>
  <c r="H23" i="42"/>
  <c r="H23" i="41"/>
  <c r="W21" i="42" l="1"/>
  <c r="H24" i="42"/>
  <c r="H24" i="41"/>
  <c r="K10" i="15"/>
  <c r="L10" i="15" s="1"/>
  <c r="G10" i="15"/>
  <c r="I10" i="15" s="1"/>
  <c r="N10" i="15" s="1"/>
  <c r="K9" i="15"/>
  <c r="L9" i="15" s="1"/>
  <c r="G9" i="15"/>
  <c r="I9" i="15" s="1"/>
  <c r="N9" i="15" s="1"/>
  <c r="K8" i="15"/>
  <c r="L8" i="15" s="1"/>
  <c r="G8" i="15"/>
  <c r="I8" i="15" s="1"/>
  <c r="N8" i="15" s="1"/>
  <c r="K7" i="15"/>
  <c r="L7" i="15" s="1"/>
  <c r="G7" i="15"/>
  <c r="I7" i="15" s="1"/>
  <c r="N7" i="15" s="1"/>
  <c r="F7" i="15"/>
  <c r="K6" i="15"/>
  <c r="L6" i="15" s="1"/>
  <c r="G6" i="15"/>
  <c r="I6" i="15" s="1"/>
  <c r="N6" i="15" s="1"/>
  <c r="F6" i="15"/>
  <c r="K5" i="15"/>
  <c r="L5" i="15" s="1"/>
  <c r="G5" i="15"/>
  <c r="I5" i="15" s="1"/>
  <c r="N5" i="15" s="1"/>
  <c r="F5" i="15"/>
  <c r="A5" i="15" s="1"/>
  <c r="W22" i="42" l="1"/>
  <c r="L11" i="15"/>
  <c r="H25" i="42"/>
  <c r="W22" i="41"/>
  <c r="H25" i="41"/>
  <c r="N11" i="15"/>
  <c r="W23" i="42" l="1"/>
  <c r="O8" i="15"/>
  <c r="O5" i="15"/>
  <c r="H26" i="42"/>
  <c r="H26" i="41"/>
  <c r="W24" i="41"/>
  <c r="W23" i="41"/>
  <c r="O10" i="15"/>
  <c r="O9" i="15"/>
  <c r="O7" i="15"/>
  <c r="O6" i="15"/>
  <c r="H27" i="42" l="1"/>
  <c r="W24" i="42"/>
  <c r="H27" i="41"/>
  <c r="F29" i="16"/>
  <c r="F30" i="16"/>
  <c r="F31" i="16"/>
  <c r="F32" i="16"/>
  <c r="F33" i="16"/>
  <c r="F34" i="16"/>
  <c r="F35" i="16"/>
  <c r="F36" i="16"/>
  <c r="E10" i="33"/>
  <c r="E11" i="33" s="1"/>
  <c r="E12" i="33" s="1"/>
  <c r="E13" i="33" s="1"/>
  <c r="E14" i="33" s="1"/>
  <c r="E15" i="33" s="1"/>
  <c r="E16" i="33" s="1"/>
  <c r="E17" i="33" s="1"/>
  <c r="E18" i="33" s="1"/>
  <c r="E19" i="33" s="1"/>
  <c r="E20" i="33" s="1"/>
  <c r="E21" i="33" s="1"/>
  <c r="E22" i="33" s="1"/>
  <c r="E23" i="33" s="1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H19" i="32"/>
  <c r="G19" i="32"/>
  <c r="G20" i="32" s="1"/>
  <c r="G21" i="32" s="1"/>
  <c r="G22" i="32" s="1"/>
  <c r="G23" i="32" s="1"/>
  <c r="G24" i="32" s="1"/>
  <c r="G25" i="32" s="1"/>
  <c r="G26" i="32" s="1"/>
  <c r="G27" i="32" s="1"/>
  <c r="G28" i="32" s="1"/>
  <c r="G29" i="32" s="1"/>
  <c r="G30" i="32" s="1"/>
  <c r="G31" i="32" s="1"/>
  <c r="G32" i="32" s="1"/>
  <c r="G33" i="32" s="1"/>
  <c r="G34" i="32" s="1"/>
  <c r="G35" i="32" s="1"/>
  <c r="F19" i="32"/>
  <c r="F18" i="32"/>
  <c r="W25" i="42" l="1"/>
  <c r="H28" i="42"/>
  <c r="H28" i="41"/>
  <c r="W25" i="41"/>
  <c r="H20" i="32"/>
  <c r="F28" i="16"/>
  <c r="F27" i="16"/>
  <c r="F26" i="16"/>
  <c r="F25" i="16"/>
  <c r="F24" i="16"/>
  <c r="F23" i="16"/>
  <c r="F22" i="16"/>
  <c r="F21" i="16"/>
  <c r="F20" i="16"/>
  <c r="K19" i="16"/>
  <c r="G19" i="16"/>
  <c r="G20" i="16" s="1"/>
  <c r="G21" i="16" s="1"/>
  <c r="G22" i="16" s="1"/>
  <c r="G23" i="16" s="1"/>
  <c r="G24" i="16" s="1"/>
  <c r="G25" i="16" s="1"/>
  <c r="G26" i="16" s="1"/>
  <c r="G27" i="16" s="1"/>
  <c r="G28" i="16" s="1"/>
  <c r="G29" i="16" s="1"/>
  <c r="G30" i="16" s="1"/>
  <c r="G31" i="16" s="1"/>
  <c r="G32" i="16" s="1"/>
  <c r="G33" i="16" s="1"/>
  <c r="G34" i="16" s="1"/>
  <c r="G35" i="16" s="1"/>
  <c r="G36" i="16" s="1"/>
  <c r="F19" i="16"/>
  <c r="T18" i="16"/>
  <c r="O18" i="16"/>
  <c r="F18" i="16"/>
  <c r="R19" i="16" l="1"/>
  <c r="U19" i="16" s="1"/>
  <c r="M19" i="16"/>
  <c r="P19" i="16" s="1"/>
  <c r="V19" i="16" s="1"/>
  <c r="W26" i="41"/>
  <c r="W26" i="42"/>
  <c r="H29" i="42"/>
  <c r="W27" i="42"/>
  <c r="H29" i="41"/>
  <c r="K20" i="16"/>
  <c r="H21" i="32"/>
  <c r="M18" i="16"/>
  <c r="R20" i="16" l="1"/>
  <c r="U20" i="16" s="1"/>
  <c r="M20" i="16"/>
  <c r="P20" i="16" s="1"/>
  <c r="V20" i="16" s="1"/>
  <c r="H30" i="42"/>
  <c r="W27" i="41"/>
  <c r="H30" i="41"/>
  <c r="K21" i="16"/>
  <c r="W18" i="32"/>
  <c r="W19" i="32"/>
  <c r="H22" i="32"/>
  <c r="P18" i="16"/>
  <c r="R18" i="16"/>
  <c r="U18" i="16" s="1"/>
  <c r="K22" i="16"/>
  <c r="R22" i="16" l="1"/>
  <c r="U22" i="16" s="1"/>
  <c r="M22" i="16"/>
  <c r="P22" i="16" s="1"/>
  <c r="V22" i="16" s="1"/>
  <c r="R21" i="16"/>
  <c r="U21" i="16" s="1"/>
  <c r="M21" i="16"/>
  <c r="P21" i="16" s="1"/>
  <c r="H31" i="42"/>
  <c r="W28" i="42"/>
  <c r="W28" i="41"/>
  <c r="H31" i="41"/>
  <c r="H23" i="32"/>
  <c r="W20" i="32"/>
  <c r="W20" i="16"/>
  <c r="W19" i="16"/>
  <c r="V18" i="16"/>
  <c r="W18" i="16" s="1"/>
  <c r="K23" i="16"/>
  <c r="R23" i="16" l="1"/>
  <c r="U23" i="16" s="1"/>
  <c r="M23" i="16"/>
  <c r="P23" i="16" s="1"/>
  <c r="V23" i="16" s="1"/>
  <c r="V21" i="16"/>
  <c r="W21" i="16" s="1"/>
  <c r="H32" i="42"/>
  <c r="W29" i="42"/>
  <c r="W29" i="41"/>
  <c r="H32" i="41"/>
  <c r="W21" i="32"/>
  <c r="H24" i="32"/>
  <c r="K24" i="16"/>
  <c r="R24" i="16" l="1"/>
  <c r="U24" i="16" s="1"/>
  <c r="M24" i="16"/>
  <c r="P24" i="16" s="1"/>
  <c r="V24" i="16" s="1"/>
  <c r="W30" i="42"/>
  <c r="H33" i="42"/>
  <c r="W30" i="41"/>
  <c r="H33" i="41"/>
  <c r="W22" i="32"/>
  <c r="H25" i="32"/>
  <c r="W22" i="16"/>
  <c r="K25" i="16"/>
  <c r="R25" i="16" l="1"/>
  <c r="U25" i="16" s="1"/>
  <c r="M25" i="16"/>
  <c r="P25" i="16" s="1"/>
  <c r="V25" i="16" s="1"/>
  <c r="W31" i="42"/>
  <c r="W23" i="32"/>
  <c r="H34" i="42"/>
  <c r="W31" i="41"/>
  <c r="H34" i="41"/>
  <c r="H26" i="32"/>
  <c r="W23" i="16"/>
  <c r="K26" i="16"/>
  <c r="R26" i="16" l="1"/>
  <c r="U26" i="16" s="1"/>
  <c r="M26" i="16"/>
  <c r="P26" i="16" s="1"/>
  <c r="V26" i="16" s="1"/>
  <c r="H35" i="42"/>
  <c r="W32" i="42"/>
  <c r="W32" i="41"/>
  <c r="H35" i="41"/>
  <c r="W24" i="32"/>
  <c r="H27" i="32"/>
  <c r="K27" i="16"/>
  <c r="W24" i="16"/>
  <c r="R27" i="16" l="1"/>
  <c r="U27" i="16" s="1"/>
  <c r="M27" i="16"/>
  <c r="P27" i="16" s="1"/>
  <c r="V27" i="16" s="1"/>
  <c r="H36" i="42"/>
  <c r="W33" i="41"/>
  <c r="W33" i="42"/>
  <c r="H36" i="41"/>
  <c r="W25" i="32"/>
  <c r="H28" i="32"/>
  <c r="W25" i="16"/>
  <c r="K29" i="16" l="1"/>
  <c r="K28" i="16"/>
  <c r="H37" i="42"/>
  <c r="H37" i="41"/>
  <c r="W34" i="42"/>
  <c r="W34" i="41"/>
  <c r="W35" i="42"/>
  <c r="K30" i="16"/>
  <c r="W26" i="32"/>
  <c r="H29" i="32"/>
  <c r="W26" i="16"/>
  <c r="R30" i="16" l="1"/>
  <c r="U30" i="16" s="1"/>
  <c r="M30" i="16"/>
  <c r="P30" i="16" s="1"/>
  <c r="V30" i="16" s="1"/>
  <c r="R28" i="16"/>
  <c r="U28" i="16" s="1"/>
  <c r="M28" i="16"/>
  <c r="P28" i="16" s="1"/>
  <c r="V28" i="16" s="1"/>
  <c r="R29" i="16"/>
  <c r="U29" i="16" s="1"/>
  <c r="M29" i="16"/>
  <c r="P29" i="16" s="1"/>
  <c r="H38" i="42"/>
  <c r="W36" i="42"/>
  <c r="W36" i="41"/>
  <c r="W35" i="41"/>
  <c r="W27" i="16"/>
  <c r="H31" i="16"/>
  <c r="K31" i="16" s="1"/>
  <c r="W27" i="32"/>
  <c r="H30" i="32"/>
  <c r="W28" i="32"/>
  <c r="R31" i="16" l="1"/>
  <c r="U31" i="16" s="1"/>
  <c r="M31" i="16"/>
  <c r="P31" i="16" s="1"/>
  <c r="V31" i="16" s="1"/>
  <c r="V29" i="16"/>
  <c r="W29" i="16"/>
  <c r="H39" i="42"/>
  <c r="W37" i="41"/>
  <c r="H32" i="16"/>
  <c r="K32" i="16" s="1"/>
  <c r="H31" i="32"/>
  <c r="W28" i="16"/>
  <c r="R32" i="16" l="1"/>
  <c r="U32" i="16" s="1"/>
  <c r="M32" i="16"/>
  <c r="P32" i="16" s="1"/>
  <c r="V32" i="16" s="1"/>
  <c r="W37" i="42"/>
  <c r="W30" i="16"/>
  <c r="H33" i="16"/>
  <c r="K33" i="16" s="1"/>
  <c r="H32" i="32"/>
  <c r="W29" i="32"/>
  <c r="R33" i="16" l="1"/>
  <c r="U33" i="16" s="1"/>
  <c r="M33" i="16"/>
  <c r="P33" i="16" s="1"/>
  <c r="V33" i="16" s="1"/>
  <c r="W38" i="42"/>
  <c r="W39" i="42"/>
  <c r="W31" i="16"/>
  <c r="H34" i="16"/>
  <c r="K34" i="16" s="1"/>
  <c r="W30" i="32"/>
  <c r="H33" i="32"/>
  <c r="R34" i="16" l="1"/>
  <c r="U34" i="16" s="1"/>
  <c r="M34" i="16"/>
  <c r="P34" i="16" s="1"/>
  <c r="V34" i="16" s="1"/>
  <c r="W32" i="16"/>
  <c r="H35" i="16"/>
  <c r="K35" i="16" s="1"/>
  <c r="W31" i="32"/>
  <c r="H34" i="32"/>
  <c r="R35" i="16" l="1"/>
  <c r="U35" i="16" s="1"/>
  <c r="M35" i="16"/>
  <c r="P35" i="16" s="1"/>
  <c r="V35" i="16" s="1"/>
  <c r="W33" i="16"/>
  <c r="H36" i="16"/>
  <c r="K36" i="16" s="1"/>
  <c r="W32" i="32"/>
  <c r="H35" i="32"/>
  <c r="R36" i="16" l="1"/>
  <c r="U36" i="16" s="1"/>
  <c r="M36" i="16"/>
  <c r="P36" i="16" s="1"/>
  <c r="V36" i="16" s="1"/>
  <c r="W34" i="16"/>
  <c r="W33" i="32"/>
  <c r="W35" i="16" l="1"/>
  <c r="W36" i="16"/>
  <c r="W34" i="32"/>
  <c r="W35" i="32" l="1"/>
</calcChain>
</file>

<file path=xl/sharedStrings.xml><?xml version="1.0" encoding="utf-8"?>
<sst xmlns="http://schemas.openxmlformats.org/spreadsheetml/2006/main" count="471" uniqueCount="118">
  <si>
    <t>OD</t>
  </si>
  <si>
    <t>m</t>
  </si>
  <si>
    <t>EA</t>
  </si>
  <si>
    <t>MN</t>
  </si>
  <si>
    <t>Umbilical (supplier provided)</t>
  </si>
  <si>
    <t>Tube</t>
  </si>
  <si>
    <t>ID</t>
  </si>
  <si>
    <t>t</t>
  </si>
  <si>
    <t>LC</t>
  </si>
  <si>
    <t>Tension</t>
  </si>
  <si>
    <t>Bend Radius</t>
  </si>
  <si>
    <t>[MPa]</t>
  </si>
  <si>
    <t>[m]</t>
  </si>
  <si>
    <t>[kN]</t>
  </si>
  <si>
    <t>end cap stress</t>
  </si>
  <si>
    <r>
      <rPr>
        <b/>
        <sz val="11"/>
        <color theme="1"/>
        <rFont val="Symbol"/>
        <family val="1"/>
        <charset val="2"/>
      </rPr>
      <t>s</t>
    </r>
    <r>
      <rPr>
        <b/>
        <vertAlign val="subscript"/>
        <sz val="11"/>
        <color theme="1"/>
        <rFont val="Calibri"/>
        <family val="2"/>
        <scheme val="minor"/>
      </rPr>
      <t>aec</t>
    </r>
  </si>
  <si>
    <r>
      <rPr>
        <b/>
        <sz val="11"/>
        <color theme="1"/>
        <rFont val="Symbol"/>
        <family val="1"/>
        <charset val="2"/>
      </rPr>
      <t>s</t>
    </r>
    <r>
      <rPr>
        <b/>
        <vertAlign val="subscript"/>
        <sz val="11"/>
        <color theme="1"/>
        <rFont val="Calibri"/>
        <family val="2"/>
        <scheme val="minor"/>
      </rPr>
      <t>at</t>
    </r>
  </si>
  <si>
    <r>
      <rPr>
        <b/>
        <sz val="11"/>
        <color theme="1"/>
        <rFont val="Symbol"/>
        <family val="1"/>
        <charset val="2"/>
      </rPr>
      <t>s</t>
    </r>
    <r>
      <rPr>
        <b/>
        <vertAlign val="subscript"/>
        <sz val="11"/>
        <color theme="1"/>
        <rFont val="Calibri"/>
        <family val="2"/>
        <scheme val="minor"/>
      </rPr>
      <t>bi</t>
    </r>
  </si>
  <si>
    <r>
      <rPr>
        <b/>
        <sz val="11"/>
        <color theme="1"/>
        <rFont val="Symbol"/>
        <family val="1"/>
        <charset val="2"/>
      </rPr>
      <t>s</t>
    </r>
    <r>
      <rPr>
        <b/>
        <vertAlign val="subscript"/>
        <sz val="11"/>
        <color theme="1"/>
        <rFont val="Calibri"/>
        <family val="2"/>
        <scheme val="minor"/>
      </rPr>
      <t>ai</t>
    </r>
  </si>
  <si>
    <r>
      <rPr>
        <b/>
        <sz val="11"/>
        <color theme="1"/>
        <rFont val="Symbol"/>
        <family val="1"/>
        <charset val="2"/>
      </rPr>
      <t>s</t>
    </r>
    <r>
      <rPr>
        <b/>
        <vertAlign val="subscript"/>
        <sz val="11"/>
        <color theme="1"/>
        <rFont val="Calibri"/>
        <family val="2"/>
        <scheme val="minor"/>
      </rPr>
      <t>hi</t>
    </r>
  </si>
  <si>
    <r>
      <rPr>
        <b/>
        <sz val="11"/>
        <color theme="1"/>
        <rFont val="Symbol"/>
        <family val="1"/>
        <charset val="2"/>
      </rPr>
      <t>s</t>
    </r>
    <r>
      <rPr>
        <b/>
        <vertAlign val="subscript"/>
        <sz val="11"/>
        <color theme="1"/>
        <rFont val="Calibri"/>
        <family val="2"/>
        <scheme val="minor"/>
      </rPr>
      <t>ri</t>
    </r>
  </si>
  <si>
    <r>
      <rPr>
        <b/>
        <sz val="11"/>
        <color theme="1"/>
        <rFont val="Symbol"/>
        <family val="1"/>
        <charset val="2"/>
      </rPr>
      <t>s</t>
    </r>
    <r>
      <rPr>
        <b/>
        <vertAlign val="subscript"/>
        <sz val="11"/>
        <color theme="1"/>
        <rFont val="Calibri"/>
        <family val="2"/>
        <scheme val="minor"/>
      </rPr>
      <t>ei</t>
    </r>
  </si>
  <si>
    <r>
      <rPr>
        <b/>
        <sz val="11"/>
        <color theme="1"/>
        <rFont val="Symbol"/>
        <family val="1"/>
        <charset val="2"/>
      </rPr>
      <t>s</t>
    </r>
    <r>
      <rPr>
        <b/>
        <vertAlign val="subscript"/>
        <sz val="11"/>
        <color theme="1"/>
        <rFont val="Calibri"/>
        <family val="2"/>
        <scheme val="minor"/>
      </rPr>
      <t>bo</t>
    </r>
  </si>
  <si>
    <r>
      <rPr>
        <b/>
        <sz val="11"/>
        <color theme="1"/>
        <rFont val="Symbol"/>
        <family val="1"/>
        <charset val="2"/>
      </rPr>
      <t>s</t>
    </r>
    <r>
      <rPr>
        <b/>
        <vertAlign val="subscript"/>
        <sz val="11"/>
        <color theme="1"/>
        <rFont val="Calibri"/>
        <family val="2"/>
        <scheme val="minor"/>
      </rPr>
      <t>ao</t>
    </r>
  </si>
  <si>
    <r>
      <rPr>
        <b/>
        <sz val="11"/>
        <color theme="1"/>
        <rFont val="Symbol"/>
        <family val="1"/>
        <charset val="2"/>
      </rPr>
      <t>s</t>
    </r>
    <r>
      <rPr>
        <b/>
        <vertAlign val="subscript"/>
        <sz val="11"/>
        <color theme="1"/>
        <rFont val="Calibri"/>
        <family val="2"/>
        <scheme val="minor"/>
      </rPr>
      <t>ho</t>
    </r>
  </si>
  <si>
    <r>
      <rPr>
        <b/>
        <sz val="11"/>
        <color theme="1"/>
        <rFont val="Symbol"/>
        <family val="1"/>
        <charset val="2"/>
      </rPr>
      <t>s</t>
    </r>
    <r>
      <rPr>
        <b/>
        <vertAlign val="subscript"/>
        <sz val="11"/>
        <color theme="1"/>
        <rFont val="Calibri"/>
        <family val="2"/>
        <scheme val="minor"/>
      </rPr>
      <t>ro</t>
    </r>
  </si>
  <si>
    <r>
      <rPr>
        <b/>
        <sz val="11"/>
        <color theme="1"/>
        <rFont val="Symbol"/>
        <family val="1"/>
        <charset val="2"/>
      </rPr>
      <t>s</t>
    </r>
    <r>
      <rPr>
        <b/>
        <vertAlign val="subscript"/>
        <sz val="11"/>
        <color theme="1"/>
        <rFont val="Calibri"/>
        <family val="2"/>
        <scheme val="minor"/>
      </rPr>
      <t>eo</t>
    </r>
  </si>
  <si>
    <r>
      <rPr>
        <b/>
        <sz val="11"/>
        <color theme="1"/>
        <rFont val="Symbol"/>
        <family val="1"/>
        <charset val="2"/>
      </rPr>
      <t>s</t>
    </r>
    <r>
      <rPr>
        <b/>
        <vertAlign val="subscript"/>
        <sz val="11"/>
        <color theme="1"/>
        <rFont val="Calibri"/>
        <family val="2"/>
        <scheme val="minor"/>
      </rPr>
      <t>e max</t>
    </r>
  </si>
  <si>
    <t>stress due to tensile loads</t>
  </si>
  <si>
    <r>
      <rPr>
        <b/>
        <sz val="11"/>
        <color theme="1"/>
        <rFont val="Symbol"/>
        <family val="1"/>
        <charset val="2"/>
      </rPr>
      <t>s</t>
    </r>
    <r>
      <rPr>
        <b/>
        <vertAlign val="subscript"/>
        <sz val="11"/>
        <color theme="1"/>
        <rFont val="Calibri"/>
        <family val="2"/>
        <scheme val="minor"/>
      </rPr>
      <t>b</t>
    </r>
  </si>
  <si>
    <r>
      <rPr>
        <b/>
        <sz val="11"/>
        <color theme="1"/>
        <rFont val="Symbol"/>
        <family val="1"/>
        <charset val="2"/>
      </rPr>
      <t>s</t>
    </r>
    <r>
      <rPr>
        <b/>
        <vertAlign val="subscript"/>
        <sz val="11"/>
        <color theme="1"/>
        <rFont val="Calibri"/>
        <family val="2"/>
        <scheme val="minor"/>
      </rPr>
      <t>a</t>
    </r>
  </si>
  <si>
    <r>
      <rPr>
        <b/>
        <sz val="11"/>
        <color theme="1"/>
        <rFont val="Symbol"/>
        <family val="1"/>
        <charset val="2"/>
      </rPr>
      <t>s</t>
    </r>
    <r>
      <rPr>
        <b/>
        <vertAlign val="subscript"/>
        <sz val="11"/>
        <color theme="1"/>
        <rFont val="Calibri"/>
        <family val="2"/>
        <scheme val="minor"/>
      </rPr>
      <t>h</t>
    </r>
  </si>
  <si>
    <r>
      <rPr>
        <b/>
        <sz val="11"/>
        <color theme="1"/>
        <rFont val="Symbol"/>
        <family val="1"/>
        <charset val="2"/>
      </rPr>
      <t>s</t>
    </r>
    <r>
      <rPr>
        <b/>
        <vertAlign val="subscript"/>
        <sz val="11"/>
        <color theme="1"/>
        <rFont val="Calibri"/>
        <family val="2"/>
        <scheme val="minor"/>
      </rPr>
      <t>r</t>
    </r>
  </si>
  <si>
    <r>
      <rPr>
        <b/>
        <sz val="11"/>
        <color theme="1"/>
        <rFont val="Symbol"/>
        <family val="1"/>
        <charset val="2"/>
      </rPr>
      <t>s</t>
    </r>
    <r>
      <rPr>
        <b/>
        <vertAlign val="subscript"/>
        <sz val="11"/>
        <color theme="1"/>
        <rFont val="Calibri"/>
        <family val="2"/>
        <scheme val="minor"/>
      </rPr>
      <t>e</t>
    </r>
  </si>
  <si>
    <t>equivalent stress (inside and outside wall)</t>
  </si>
  <si>
    <t>radial stress (inside and outside wall)</t>
  </si>
  <si>
    <t>hoop stress (inside and outside wall)</t>
  </si>
  <si>
    <t>bending stress (inside and outside wall)</t>
  </si>
  <si>
    <t>total axial stress (inside and outside wall)</t>
  </si>
  <si>
    <r>
      <rPr>
        <b/>
        <sz val="11"/>
        <color theme="1"/>
        <rFont val="Symbol"/>
        <family val="1"/>
        <charset val="2"/>
      </rPr>
      <t>s</t>
    </r>
    <r>
      <rPr>
        <b/>
        <vertAlign val="subscript"/>
        <sz val="11"/>
        <color theme="1"/>
        <rFont val="Calibri"/>
        <family val="2"/>
        <scheme val="minor"/>
      </rPr>
      <t>SMYS</t>
    </r>
  </si>
  <si>
    <t>MPa</t>
  </si>
  <si>
    <t>Normal</t>
  </si>
  <si>
    <t>Pressure test</t>
  </si>
  <si>
    <t>Installation</t>
  </si>
  <si>
    <t>Abnormal</t>
  </si>
  <si>
    <t>Condition</t>
  </si>
  <si>
    <r>
      <t>h</t>
    </r>
    <r>
      <rPr>
        <b/>
        <vertAlign val="subscript"/>
        <sz val="11"/>
        <color theme="1"/>
        <rFont val="Symbol"/>
        <family val="1"/>
        <charset val="2"/>
      </rPr>
      <t>s</t>
    </r>
  </si>
  <si>
    <t>[-]</t>
  </si>
  <si>
    <t>Based on ISO 13628-5:2009 (Sect. 7.5.2.8)</t>
  </si>
  <si>
    <r>
      <t>p</t>
    </r>
    <r>
      <rPr>
        <b/>
        <vertAlign val="subscript"/>
        <sz val="11"/>
        <color theme="1"/>
        <rFont val="Calibri"/>
        <family val="2"/>
        <scheme val="minor"/>
      </rPr>
      <t>i</t>
    </r>
  </si>
  <si>
    <r>
      <t>p</t>
    </r>
    <r>
      <rPr>
        <b/>
        <vertAlign val="subscript"/>
        <sz val="11"/>
        <color theme="1"/>
        <rFont val="Calibri"/>
        <family val="2"/>
        <scheme val="minor"/>
      </rPr>
      <t>o</t>
    </r>
  </si>
  <si>
    <t>Inside Wall</t>
  </si>
  <si>
    <t>Outside Wall</t>
  </si>
  <si>
    <t>Water Depth</t>
  </si>
  <si>
    <t>A</t>
  </si>
  <si>
    <t>Tube area</t>
  </si>
  <si>
    <t>[mm]</t>
  </si>
  <si>
    <t>[mm2]</t>
  </si>
  <si>
    <t>-</t>
  </si>
  <si>
    <t>1in Tube</t>
  </si>
  <si>
    <t>Quantity</t>
  </si>
  <si>
    <t>E-Modulous</t>
  </si>
  <si>
    <t>(GPa)</t>
  </si>
  <si>
    <t>[ MN ]</t>
  </si>
  <si>
    <t>Total EA</t>
  </si>
  <si>
    <t>#</t>
  </si>
  <si>
    <t>#Axial force</t>
  </si>
  <si>
    <t>#Axial strain</t>
  </si>
  <si>
    <t>EA [ MN ]</t>
  </si>
  <si>
    <t>Required Utilization</t>
  </si>
  <si>
    <t>End Cap</t>
  </si>
  <si>
    <t>[ kN ]</t>
  </si>
  <si>
    <t>Int.Pres</t>
  </si>
  <si>
    <t>[ Mpa ]</t>
  </si>
  <si>
    <t>Current Utilization</t>
  </si>
  <si>
    <t>Combined</t>
  </si>
  <si>
    <t>Int.Area</t>
  </si>
  <si>
    <t>Kongsberg</t>
  </si>
  <si>
    <t>#Curvature about y-axis</t>
  </si>
  <si>
    <t>#Bending moment about y-axis</t>
  </si>
  <si>
    <t>Limp</t>
  </si>
  <si>
    <t>Stiff</t>
  </si>
  <si>
    <t>#Torsion</t>
  </si>
  <si>
    <t>#Torsion moment</t>
  </si>
  <si>
    <t>Parameter</t>
  </si>
  <si>
    <r>
      <t>EI [ kNm</t>
    </r>
    <r>
      <rPr>
        <b/>
        <vertAlign val="superscript"/>
        <sz val="11"/>
        <color theme="1"/>
        <rFont val="Calibri"/>
        <family val="2"/>
        <scheme val="minor"/>
      </rPr>
      <t xml:space="preserve">2 </t>
    </r>
    <r>
      <rPr>
        <b/>
        <sz val="11"/>
        <color theme="1"/>
        <rFont val="Calibri"/>
        <family val="2"/>
        <scheme val="minor"/>
      </rPr>
      <t>]</t>
    </r>
  </si>
  <si>
    <r>
      <t>GI [ kNm</t>
    </r>
    <r>
      <rPr>
        <b/>
        <vertAlign val="superscript"/>
        <sz val="11"/>
        <color theme="1"/>
        <rFont val="Calibri"/>
        <family val="2"/>
        <scheme val="minor"/>
      </rPr>
      <t xml:space="preserve">2 </t>
    </r>
    <r>
      <rPr>
        <b/>
        <sz val="11"/>
        <color theme="1"/>
        <rFont val="Calibri"/>
        <family val="2"/>
        <scheme val="minor"/>
      </rPr>
      <t>]</t>
    </r>
  </si>
  <si>
    <t>Aker</t>
  </si>
  <si>
    <t>1.5 inch center tube</t>
  </si>
  <si>
    <t>1 inch tube</t>
  </si>
  <si>
    <t>[ m]</t>
  </si>
  <si>
    <t>[ m ]</t>
  </si>
  <si>
    <t>1/2in Tube</t>
  </si>
  <si>
    <t>Tubes</t>
  </si>
  <si>
    <r>
      <t>[mm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]</t>
    </r>
  </si>
  <si>
    <t>1.5in Center Tube</t>
  </si>
  <si>
    <t>1.5in Tube (Lay 1)</t>
  </si>
  <si>
    <t>One and Hlaf Inch</t>
  </si>
  <si>
    <t>One Inch</t>
  </si>
  <si>
    <t>5/8th Inch</t>
  </si>
  <si>
    <t>Tube 3810</t>
  </si>
  <si>
    <t>Tube 2504</t>
  </si>
  <si>
    <t>Tube 1588</t>
  </si>
  <si>
    <t>Tube 1905</t>
  </si>
  <si>
    <t>3/4th Inch</t>
  </si>
  <si>
    <t>Tube 1275</t>
  </si>
  <si>
    <t>Half Inch</t>
  </si>
  <si>
    <t>MBR</t>
  </si>
  <si>
    <t>Tension [kN]</t>
  </si>
  <si>
    <t>Capacity Factor = 1.000</t>
  </si>
  <si>
    <t>Capacity Factor = 0.800</t>
  </si>
  <si>
    <t>Upper (Norm Op)</t>
  </si>
  <si>
    <t>Upper (Abnorm)</t>
  </si>
  <si>
    <t>Lower (Norm Op)</t>
  </si>
  <si>
    <t>Lower (Abnorm)</t>
  </si>
  <si>
    <t>KM-Normal Op (De-rated)</t>
  </si>
  <si>
    <t>E-Mod</t>
  </si>
  <si>
    <t>sigm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</si>
</sst>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"/>
    <numFmt numFmtId="166" formatCode="0.0"/>
    <numFmt numFmtId="167" formatCode="0.0000000000"/>
    <numFmt numFmtId="168" formatCode="0.0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Symbol"/>
      <family val="1"/>
      <charset val="2"/>
    </font>
    <font>
      <b/>
      <vertAlign val="subscript"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vertAlign val="subscript"/>
      <sz val="11"/>
      <color theme="1"/>
      <name val="Symbol"/>
      <family val="1"/>
      <charset val="2"/>
    </font>
    <font>
      <b/>
      <sz val="16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vertAlign val="superscript"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166" fontId="0" fillId="0" borderId="1" xfId="0" applyNumberFormat="1" applyBorder="1" applyAlignment="1">
      <alignment horizontal="center" vertic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4" fillId="0" borderId="0" xfId="0" applyFont="1"/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11" fontId="0" fillId="0" borderId="0" xfId="0" applyNumberFormat="1"/>
    <xf numFmtId="0" fontId="0" fillId="0" borderId="1" xfId="0" applyBorder="1"/>
    <xf numFmtId="0" fontId="0" fillId="0" borderId="1" xfId="0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4" borderId="1" xfId="0" applyFill="1" applyBorder="1"/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1" xfId="0" applyNumberFormat="1" applyBorder="1" applyAlignment="1">
      <alignment horizontal="center"/>
    </xf>
    <xf numFmtId="0" fontId="1" fillId="3" borderId="1" xfId="0" applyFon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/>
    </xf>
    <xf numFmtId="10" fontId="0" fillId="0" borderId="0" xfId="0" applyNumberFormat="1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" fontId="0" fillId="0" borderId="0" xfId="0" applyNumberFormat="1"/>
    <xf numFmtId="0" fontId="1" fillId="5" borderId="1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9" fontId="0" fillId="0" borderId="0" xfId="0" applyNumberFormat="1"/>
    <xf numFmtId="0" fontId="1" fillId="2" borderId="1" xfId="0" applyFont="1" applyFill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2" fontId="0" fillId="0" borderId="0" xfId="0" applyNumberFormat="1"/>
    <xf numFmtId="2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vertical="center"/>
    </xf>
    <xf numFmtId="2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66" fontId="0" fillId="6" borderId="1" xfId="0" applyNumberFormat="1" applyFill="1" applyBorder="1" applyAlignment="1">
      <alignment horizontal="center" vertical="center"/>
    </xf>
    <xf numFmtId="165" fontId="0" fillId="6" borderId="1" xfId="0" applyNumberFormat="1" applyFill="1" applyBorder="1" applyAlignment="1">
      <alignment horizontal="center" vertical="center"/>
    </xf>
    <xf numFmtId="166" fontId="0" fillId="6" borderId="1" xfId="0" applyNumberFormat="1" applyFill="1" applyBorder="1" applyAlignment="1">
      <alignment horizontal="center"/>
    </xf>
    <xf numFmtId="164" fontId="0" fillId="6" borderId="1" xfId="0" applyNumberFormat="1" applyFill="1" applyBorder="1" applyAlignment="1">
      <alignment horizontal="center"/>
    </xf>
    <xf numFmtId="164" fontId="0" fillId="6" borderId="1" xfId="0" applyNumberFormat="1" applyFill="1" applyBorder="1" applyAlignment="1">
      <alignment horizontal="center" vertical="center"/>
    </xf>
    <xf numFmtId="167" fontId="0" fillId="6" borderId="1" xfId="0" applyNumberFormat="1" applyFill="1" applyBorder="1" applyAlignment="1">
      <alignment horizontal="center" vertical="center"/>
    </xf>
    <xf numFmtId="168" fontId="0" fillId="0" borderId="1" xfId="0" applyNumberFormat="1" applyBorder="1" applyAlignment="1">
      <alignment horizontal="center"/>
    </xf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4" fillId="0" borderId="1" xfId="0" applyFon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left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Bending Stiffness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Properties!$B$15:$B$176</c:f>
              <c:numCache>
                <c:formatCode>General</c:formatCode>
                <c:ptCount val="1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E+00">
                  <c:v>0</c:v>
                </c:pt>
                <c:pt idx="7" formatCode="0.00E+00">
                  <c:v>0</c:v>
                </c:pt>
                <c:pt idx="8" formatCode="0.00E+00">
                  <c:v>0</c:v>
                </c:pt>
                <c:pt idx="9" formatCode="0.00E+00">
                  <c:v>0</c:v>
                </c:pt>
                <c:pt idx="10" formatCode="0.00E+00">
                  <c:v>4.9999999999999998E-8</c:v>
                </c:pt>
                <c:pt idx="11" formatCode="0.00E+00">
                  <c:v>9.9999999999999995E-8</c:v>
                </c:pt>
                <c:pt idx="12" formatCode="0.00E+00">
                  <c:v>1.4999999999999999E-7</c:v>
                </c:pt>
                <c:pt idx="13" formatCode="0.00E+00">
                  <c:v>1.9999999999999999E-7</c:v>
                </c:pt>
                <c:pt idx="14" formatCode="0.00E+00">
                  <c:v>2.4999999999999999E-7</c:v>
                </c:pt>
                <c:pt idx="15" formatCode="0.00E+00">
                  <c:v>2.9999999999999999E-7</c:v>
                </c:pt>
                <c:pt idx="16" formatCode="0.00E+00">
                  <c:v>3.4999999999999998E-7</c:v>
                </c:pt>
                <c:pt idx="17" formatCode="0.00E+00">
                  <c:v>3.9999999999999998E-7</c:v>
                </c:pt>
                <c:pt idx="18" formatCode="0.00E+00">
                  <c:v>4.4999999999999998E-7</c:v>
                </c:pt>
                <c:pt idx="19" formatCode="0.00E+00">
                  <c:v>4.9999999999999998E-7</c:v>
                </c:pt>
                <c:pt idx="20" formatCode="0.00E+00">
                  <c:v>5.5000000000000003E-7</c:v>
                </c:pt>
                <c:pt idx="21" formatCode="0.00E+00">
                  <c:v>5.9999999999999997E-7</c:v>
                </c:pt>
                <c:pt idx="22" formatCode="0.00E+00">
                  <c:v>6.5000000000000002E-7</c:v>
                </c:pt>
                <c:pt idx="23" formatCode="0.00E+00">
                  <c:v>6.9999999999999997E-7</c:v>
                </c:pt>
                <c:pt idx="24" formatCode="0.00E+00">
                  <c:v>7.5000000000000002E-7</c:v>
                </c:pt>
                <c:pt idx="25" formatCode="0.00E+00">
                  <c:v>7.9999999999999996E-7</c:v>
                </c:pt>
                <c:pt idx="26" formatCode="0.00E+00">
                  <c:v>8.5000000000000001E-7</c:v>
                </c:pt>
                <c:pt idx="27" formatCode="0.00E+00">
                  <c:v>8.9999999999999996E-7</c:v>
                </c:pt>
                <c:pt idx="28" formatCode="0.00E+00">
                  <c:v>9.5000000000000001E-7</c:v>
                </c:pt>
                <c:pt idx="29" formatCode="0.00E+00">
                  <c:v>9.9999999999999995E-7</c:v>
                </c:pt>
                <c:pt idx="30" formatCode="0.00E+00">
                  <c:v>1.0499999999999999E-6</c:v>
                </c:pt>
                <c:pt idx="31" formatCode="0.00E+00">
                  <c:v>1.1000000000000001E-6</c:v>
                </c:pt>
                <c:pt idx="32" formatCode="0.00E+00">
                  <c:v>1.15E-6</c:v>
                </c:pt>
                <c:pt idx="33" formatCode="0.00E+00">
                  <c:v>1.1999999999999999E-6</c:v>
                </c:pt>
                <c:pt idx="34" formatCode="0.00E+00">
                  <c:v>1.2500000000000001E-6</c:v>
                </c:pt>
                <c:pt idx="35" formatCode="0.00E+00">
                  <c:v>1.3E-6</c:v>
                </c:pt>
                <c:pt idx="36" formatCode="0.00E+00">
                  <c:v>1.35E-6</c:v>
                </c:pt>
                <c:pt idx="37" formatCode="0.00E+00">
                  <c:v>1.3999999999999999E-6</c:v>
                </c:pt>
                <c:pt idx="38" formatCode="0.00E+00">
                  <c:v>1.4500000000000001E-6</c:v>
                </c:pt>
                <c:pt idx="39" formatCode="0.00E+00">
                  <c:v>1.5E-6</c:v>
                </c:pt>
                <c:pt idx="40" formatCode="0.00E+00">
                  <c:v>1.55E-6</c:v>
                </c:pt>
                <c:pt idx="41" formatCode="0.00E+00">
                  <c:v>1.5999999999999999E-6</c:v>
                </c:pt>
                <c:pt idx="42" formatCode="0.00E+00">
                  <c:v>1.6500000000000001E-6</c:v>
                </c:pt>
                <c:pt idx="43" formatCode="0.00E+00">
                  <c:v>1.7E-6</c:v>
                </c:pt>
                <c:pt idx="44" formatCode="0.00E+00">
                  <c:v>1.75E-6</c:v>
                </c:pt>
                <c:pt idx="45" formatCode="0.00E+00">
                  <c:v>1.7999999999999999E-6</c:v>
                </c:pt>
                <c:pt idx="46" formatCode="0.00E+00">
                  <c:v>1.8500000000000001E-6</c:v>
                </c:pt>
                <c:pt idx="47" formatCode="0.00E+00">
                  <c:v>1.9E-6</c:v>
                </c:pt>
                <c:pt idx="48" formatCode="0.00E+00">
                  <c:v>1.95E-6</c:v>
                </c:pt>
                <c:pt idx="49" formatCode="0.00E+00">
                  <c:v>1.9999999999999999E-6</c:v>
                </c:pt>
                <c:pt idx="50" formatCode="0.00E+00">
                  <c:v>2.0499999999999999E-6</c:v>
                </c:pt>
                <c:pt idx="51" formatCode="0.00E+00">
                  <c:v>2.0999999999999998E-6</c:v>
                </c:pt>
                <c:pt idx="52" formatCode="0.00E+00">
                  <c:v>2.1500000000000002E-6</c:v>
                </c:pt>
                <c:pt idx="53" formatCode="0.00E+00">
                  <c:v>2.2000000000000001E-6</c:v>
                </c:pt>
                <c:pt idx="54" formatCode="0.00E+00">
                  <c:v>2.2500000000000001E-6</c:v>
                </c:pt>
                <c:pt idx="55" formatCode="0.00E+00">
                  <c:v>2.3E-6</c:v>
                </c:pt>
                <c:pt idx="56" formatCode="0.00E+00">
                  <c:v>2.3499999999999999E-6</c:v>
                </c:pt>
                <c:pt idx="57" formatCode="0.00E+00">
                  <c:v>2.3999999999999999E-6</c:v>
                </c:pt>
                <c:pt idx="58" formatCode="0.00E+00">
                  <c:v>2.4499999999999998E-6</c:v>
                </c:pt>
                <c:pt idx="59" formatCode="0.00E+00">
                  <c:v>2.5000000000000002E-6</c:v>
                </c:pt>
                <c:pt idx="60" formatCode="0.00E+00">
                  <c:v>2.5500000000000001E-6</c:v>
                </c:pt>
                <c:pt idx="61" formatCode="0.00E+00">
                  <c:v>2.6000000000000001E-6</c:v>
                </c:pt>
                <c:pt idx="62" formatCode="0.00E+00">
                  <c:v>2.65E-6</c:v>
                </c:pt>
                <c:pt idx="63" formatCode="0.00E+00">
                  <c:v>2.7E-6</c:v>
                </c:pt>
                <c:pt idx="64" formatCode="0.00E+00">
                  <c:v>2.7499999999999999E-6</c:v>
                </c:pt>
                <c:pt idx="65" formatCode="0.00E+00">
                  <c:v>2.7999999999999999E-6</c:v>
                </c:pt>
                <c:pt idx="66" formatCode="0.00E+00">
                  <c:v>2.8499999999999998E-6</c:v>
                </c:pt>
                <c:pt idx="67" formatCode="0.00E+00">
                  <c:v>2.9000000000000002E-6</c:v>
                </c:pt>
                <c:pt idx="68" formatCode="0.00E+00">
                  <c:v>2.9500000000000001E-6</c:v>
                </c:pt>
                <c:pt idx="69" formatCode="0.00E+00">
                  <c:v>3.0000000000000001E-6</c:v>
                </c:pt>
                <c:pt idx="70" formatCode="0.00E+00">
                  <c:v>3.05E-6</c:v>
                </c:pt>
                <c:pt idx="71" formatCode="0.00E+00">
                  <c:v>3.1E-6</c:v>
                </c:pt>
                <c:pt idx="72" formatCode="0.00E+00">
                  <c:v>3.1499999999999999E-6</c:v>
                </c:pt>
                <c:pt idx="73" formatCode="0.00E+00">
                  <c:v>3.1999999999999999E-6</c:v>
                </c:pt>
                <c:pt idx="74" formatCode="0.00E+00">
                  <c:v>3.2499999999999998E-6</c:v>
                </c:pt>
                <c:pt idx="75" formatCode="0.00E+00">
                  <c:v>3.3000000000000002E-6</c:v>
                </c:pt>
                <c:pt idx="76" formatCode="0.00E+00">
                  <c:v>3.3500000000000001E-6</c:v>
                </c:pt>
                <c:pt idx="77" formatCode="0.00E+00">
                  <c:v>3.4000000000000001E-6</c:v>
                </c:pt>
                <c:pt idx="78" formatCode="0.00E+00">
                  <c:v>3.45E-6</c:v>
                </c:pt>
                <c:pt idx="79" formatCode="0.00E+00">
                  <c:v>3.4999999999999999E-6</c:v>
                </c:pt>
                <c:pt idx="80" formatCode="0.00E+00">
                  <c:v>3.5499999999999999E-6</c:v>
                </c:pt>
                <c:pt idx="81" formatCode="0.00E+00">
                  <c:v>3.5999999999999998E-6</c:v>
                </c:pt>
                <c:pt idx="82" formatCode="0.00E+00">
                  <c:v>3.6500000000000002E-6</c:v>
                </c:pt>
                <c:pt idx="83" formatCode="0.00E+00">
                  <c:v>3.7000000000000002E-6</c:v>
                </c:pt>
                <c:pt idx="84" formatCode="0.00E+00">
                  <c:v>3.7500000000000001E-6</c:v>
                </c:pt>
                <c:pt idx="85" formatCode="0.00E+00">
                  <c:v>3.8E-6</c:v>
                </c:pt>
                <c:pt idx="86" formatCode="0.00E+00">
                  <c:v>3.8500000000000004E-6</c:v>
                </c:pt>
                <c:pt idx="87" formatCode="0.00E+00">
                  <c:v>3.8999999999999999E-6</c:v>
                </c:pt>
                <c:pt idx="88" formatCode="0.00E+00">
                  <c:v>3.9500000000000003E-6</c:v>
                </c:pt>
                <c:pt idx="89" formatCode="0.00E+00">
                  <c:v>3.9999999999999998E-6</c:v>
                </c:pt>
                <c:pt idx="90" formatCode="0.00E+00">
                  <c:v>4.0500000000000002E-6</c:v>
                </c:pt>
                <c:pt idx="91" formatCode="0.00E+00">
                  <c:v>4.0999999999999997E-6</c:v>
                </c:pt>
                <c:pt idx="92" formatCode="0.00E+00">
                  <c:v>4.1500000000000001E-6</c:v>
                </c:pt>
                <c:pt idx="93" formatCode="0.00E+00">
                  <c:v>4.1999999999999996E-6</c:v>
                </c:pt>
                <c:pt idx="94" formatCode="0.00E+00">
                  <c:v>4.25E-6</c:v>
                </c:pt>
                <c:pt idx="95" formatCode="0.00E+00">
                  <c:v>4.3000000000000003E-6</c:v>
                </c:pt>
                <c:pt idx="96" formatCode="0.00E+00">
                  <c:v>4.3499999999999999E-6</c:v>
                </c:pt>
                <c:pt idx="97" formatCode="0.00E+00">
                  <c:v>4.4000000000000002E-6</c:v>
                </c:pt>
                <c:pt idx="98" formatCode="0.00E+00">
                  <c:v>4.4499999999999997E-6</c:v>
                </c:pt>
                <c:pt idx="99" formatCode="0.00E+00">
                  <c:v>4.5000000000000001E-6</c:v>
                </c:pt>
                <c:pt idx="100" formatCode="0.00E+00">
                  <c:v>4.5499999999999996E-6</c:v>
                </c:pt>
                <c:pt idx="101" formatCode="0.00E+00">
                  <c:v>4.6E-6</c:v>
                </c:pt>
                <c:pt idx="102" formatCode="0.00E+00">
                  <c:v>4.6500000000000004E-6</c:v>
                </c:pt>
                <c:pt idx="103" formatCode="0.00E+00">
                  <c:v>4.6999999999999999E-6</c:v>
                </c:pt>
                <c:pt idx="104" formatCode="0.00E+00">
                  <c:v>4.7500000000000003E-6</c:v>
                </c:pt>
                <c:pt idx="105" formatCode="0.00E+00">
                  <c:v>4.7999999999999998E-6</c:v>
                </c:pt>
                <c:pt idx="106" formatCode="0.00E+00">
                  <c:v>4.8500000000000002E-6</c:v>
                </c:pt>
                <c:pt idx="107" formatCode="0.00E+00">
                  <c:v>4.8999999999999997E-6</c:v>
                </c:pt>
                <c:pt idx="108" formatCode="0.00E+00">
                  <c:v>4.95E-6</c:v>
                </c:pt>
                <c:pt idx="109" formatCode="0.00E+00">
                  <c:v>5.0000000000000004E-6</c:v>
                </c:pt>
                <c:pt idx="110" formatCode="0.00E+00">
                  <c:v>5.0499999999999999E-6</c:v>
                </c:pt>
                <c:pt idx="111" formatCode="0.00E+00">
                  <c:v>5.1000000000000003E-6</c:v>
                </c:pt>
                <c:pt idx="112" formatCode="0.00E+00">
                  <c:v>5.1499999999999998E-6</c:v>
                </c:pt>
                <c:pt idx="113" formatCode="0.00E+00">
                  <c:v>5.2000000000000002E-6</c:v>
                </c:pt>
                <c:pt idx="114" formatCode="0.00E+00">
                  <c:v>5.2499999999999997E-6</c:v>
                </c:pt>
                <c:pt idx="115" formatCode="0.00E+00">
                  <c:v>5.3000000000000001E-6</c:v>
                </c:pt>
                <c:pt idx="116" formatCode="0.00E+00">
                  <c:v>5.3499999999999996E-6</c:v>
                </c:pt>
                <c:pt idx="117" formatCode="0.00E+00">
                  <c:v>5.4E-6</c:v>
                </c:pt>
                <c:pt idx="118" formatCode="0.00E+00">
                  <c:v>5.4500000000000003E-6</c:v>
                </c:pt>
                <c:pt idx="119" formatCode="0.00E+00">
                  <c:v>5.4999999999999999E-6</c:v>
                </c:pt>
                <c:pt idx="120" formatCode="0.00E+00">
                  <c:v>5.5500000000000002E-6</c:v>
                </c:pt>
                <c:pt idx="121" formatCode="0.00E+00">
                  <c:v>5.5999999999999997E-6</c:v>
                </c:pt>
                <c:pt idx="122" formatCode="0.00E+00">
                  <c:v>5.6500000000000001E-6</c:v>
                </c:pt>
                <c:pt idx="123" formatCode="0.00E+00">
                  <c:v>5.6999999999999996E-6</c:v>
                </c:pt>
                <c:pt idx="124" formatCode="0.00E+00">
                  <c:v>5.75E-6</c:v>
                </c:pt>
                <c:pt idx="125" formatCode="0.00E+00">
                  <c:v>5.8000000000000004E-6</c:v>
                </c:pt>
                <c:pt idx="126" formatCode="0.00E+00">
                  <c:v>5.8499999999999999E-6</c:v>
                </c:pt>
                <c:pt idx="127" formatCode="0.00E+00">
                  <c:v>5.9000000000000003E-6</c:v>
                </c:pt>
                <c:pt idx="128" formatCode="0.00E+00">
                  <c:v>5.9499999999999998E-6</c:v>
                </c:pt>
                <c:pt idx="129" formatCode="0.00E+00">
                  <c:v>6.0000000000000002E-6</c:v>
                </c:pt>
                <c:pt idx="130" formatCode="0.00E+00">
                  <c:v>6.0499999999999997E-6</c:v>
                </c:pt>
                <c:pt idx="131" formatCode="0.00E+00">
                  <c:v>6.1E-6</c:v>
                </c:pt>
                <c:pt idx="132" formatCode="0.00E+00">
                  <c:v>6.1500000000000004E-6</c:v>
                </c:pt>
                <c:pt idx="133" formatCode="0.00E+00">
                  <c:v>6.1999999999999999E-6</c:v>
                </c:pt>
                <c:pt idx="134" formatCode="0.00E+00">
                  <c:v>6.2500000000000003E-6</c:v>
                </c:pt>
                <c:pt idx="135" formatCode="0.00E+00">
                  <c:v>6.2999999999999998E-6</c:v>
                </c:pt>
                <c:pt idx="136" formatCode="0.00E+00">
                  <c:v>6.3500000000000002E-6</c:v>
                </c:pt>
                <c:pt idx="137" formatCode="0.00E+00">
                  <c:v>6.3999999999999997E-6</c:v>
                </c:pt>
                <c:pt idx="138" formatCode="0.00E+00">
                  <c:v>6.4500000000000001E-6</c:v>
                </c:pt>
                <c:pt idx="139" formatCode="0.00E+00">
                  <c:v>6.4999999999999996E-6</c:v>
                </c:pt>
                <c:pt idx="140" formatCode="0.00E+00">
                  <c:v>6.55E-6</c:v>
                </c:pt>
                <c:pt idx="141" formatCode="0.00E+00">
                  <c:v>6.6000000000000003E-6</c:v>
                </c:pt>
                <c:pt idx="142" formatCode="0.00E+00">
                  <c:v>6.6499999999999999E-6</c:v>
                </c:pt>
                <c:pt idx="143" formatCode="0.00E+00">
                  <c:v>6.7000000000000002E-6</c:v>
                </c:pt>
                <c:pt idx="144" formatCode="0.00E+00">
                  <c:v>6.7499999999999997E-6</c:v>
                </c:pt>
                <c:pt idx="145" formatCode="0.00E+00">
                  <c:v>6.8000000000000001E-6</c:v>
                </c:pt>
                <c:pt idx="146" formatCode="0.00E+00">
                  <c:v>6.8499999999999996E-6</c:v>
                </c:pt>
                <c:pt idx="147" formatCode="0.00E+00">
                  <c:v>6.9E-6</c:v>
                </c:pt>
                <c:pt idx="148" formatCode="0.00E+00">
                  <c:v>6.9500000000000004E-6</c:v>
                </c:pt>
                <c:pt idx="149" formatCode="0.00E+00">
                  <c:v>6.9999999999999999E-6</c:v>
                </c:pt>
                <c:pt idx="150" formatCode="0.00E+00">
                  <c:v>7.0500000000000003E-6</c:v>
                </c:pt>
                <c:pt idx="151" formatCode="0.00E+00">
                  <c:v>7.0999999999999998E-6</c:v>
                </c:pt>
                <c:pt idx="152" formatCode="0.00E+00">
                  <c:v>7.1500000000000002E-6</c:v>
                </c:pt>
                <c:pt idx="153" formatCode="0.00E+00">
                  <c:v>7.1999999999999997E-6</c:v>
                </c:pt>
                <c:pt idx="154" formatCode="0.00E+00">
                  <c:v>7.25E-6</c:v>
                </c:pt>
                <c:pt idx="155" formatCode="0.00E+00">
                  <c:v>7.3000000000000004E-6</c:v>
                </c:pt>
                <c:pt idx="156" formatCode="0.00E+00">
                  <c:v>7.3499999999999999E-6</c:v>
                </c:pt>
                <c:pt idx="157" formatCode="0.00E+00">
                  <c:v>7.4000000000000003E-6</c:v>
                </c:pt>
                <c:pt idx="158" formatCode="0.00E+00">
                  <c:v>7.4499999999999998E-6</c:v>
                </c:pt>
                <c:pt idx="159" formatCode="0.00E+00">
                  <c:v>7.5000000000000002E-6</c:v>
                </c:pt>
                <c:pt idx="160" formatCode="0.00E+00">
                  <c:v>7.5499999999999997E-6</c:v>
                </c:pt>
                <c:pt idx="161" formatCode="0.00E+00">
                  <c:v>7.6000000000000001E-6</c:v>
                </c:pt>
              </c:numCache>
            </c:numRef>
          </c:xVal>
          <c:yVal>
            <c:numRef>
              <c:f>Properties!$C$15:$C$176</c:f>
              <c:numCache>
                <c:formatCode>General</c:formatCode>
                <c:ptCount val="162"/>
                <c:pt idx="0">
                  <c:v>-9.3747900000000008</c:v>
                </c:pt>
                <c:pt idx="1">
                  <c:v>9376.11</c:v>
                </c:pt>
                <c:pt idx="2">
                  <c:v>9237.59</c:v>
                </c:pt>
                <c:pt idx="3">
                  <c:v>9056.89</c:v>
                </c:pt>
                <c:pt idx="4">
                  <c:v>8827.6299999999992</c:v>
                </c:pt>
                <c:pt idx="5">
                  <c:v>8778.93</c:v>
                </c:pt>
                <c:pt idx="6" formatCode="0.00E+00">
                  <c:v>8738.09</c:v>
                </c:pt>
                <c:pt idx="7" formatCode="0.00E+00">
                  <c:v>8705.09</c:v>
                </c:pt>
                <c:pt idx="8" formatCode="0.00E+00">
                  <c:v>8679.6200000000008</c:v>
                </c:pt>
                <c:pt idx="9" formatCode="0.00E+00">
                  <c:v>8661.6</c:v>
                </c:pt>
                <c:pt idx="10" formatCode="0.00E+00">
                  <c:v>334203</c:v>
                </c:pt>
                <c:pt idx="11" formatCode="0.00E+00">
                  <c:v>659780</c:v>
                </c:pt>
                <c:pt idx="12" formatCode="0.00E+00">
                  <c:v>985368</c:v>
                </c:pt>
                <c:pt idx="13" formatCode="0.00E+00">
                  <c:v>1296830</c:v>
                </c:pt>
                <c:pt idx="14" formatCode="0.00E+00">
                  <c:v>1408390</c:v>
                </c:pt>
                <c:pt idx="15" formatCode="0.00E+00">
                  <c:v>1456900</c:v>
                </c:pt>
                <c:pt idx="16" formatCode="0.00E+00">
                  <c:v>1484270</c:v>
                </c:pt>
                <c:pt idx="17" formatCode="0.00E+00">
                  <c:v>1509610</c:v>
                </c:pt>
                <c:pt idx="18" formatCode="0.00E+00">
                  <c:v>1529560</c:v>
                </c:pt>
                <c:pt idx="19" formatCode="0.00E+00">
                  <c:v>1549500</c:v>
                </c:pt>
                <c:pt idx="20" formatCode="0.00E+00">
                  <c:v>1569450</c:v>
                </c:pt>
                <c:pt idx="21" formatCode="0.00E+00">
                  <c:v>1589390</c:v>
                </c:pt>
                <c:pt idx="22" formatCode="0.00E+00">
                  <c:v>1609320</c:v>
                </c:pt>
                <c:pt idx="23" formatCode="0.00E+00">
                  <c:v>1628950</c:v>
                </c:pt>
                <c:pt idx="24" formatCode="0.00E+00">
                  <c:v>1646960</c:v>
                </c:pt>
                <c:pt idx="25" formatCode="0.00E+00">
                  <c:v>1664810</c:v>
                </c:pt>
                <c:pt idx="26" formatCode="0.00E+00">
                  <c:v>1682680</c:v>
                </c:pt>
                <c:pt idx="27" formatCode="0.00E+00">
                  <c:v>1700540</c:v>
                </c:pt>
                <c:pt idx="28" formatCode="0.00E+00">
                  <c:v>1718410</c:v>
                </c:pt>
                <c:pt idx="29" formatCode="0.00E+00">
                  <c:v>1736270</c:v>
                </c:pt>
                <c:pt idx="30" formatCode="0.00E+00">
                  <c:v>1754140</c:v>
                </c:pt>
                <c:pt idx="31" formatCode="0.00E+00">
                  <c:v>1772010</c:v>
                </c:pt>
                <c:pt idx="32" formatCode="0.00E+00">
                  <c:v>1789880</c:v>
                </c:pt>
                <c:pt idx="33" formatCode="0.00E+00">
                  <c:v>1807740</c:v>
                </c:pt>
                <c:pt idx="34" formatCode="0.00E+00">
                  <c:v>1825610</c:v>
                </c:pt>
                <c:pt idx="35" formatCode="0.00E+00">
                  <c:v>1843480</c:v>
                </c:pt>
                <c:pt idx="36" formatCode="0.00E+00">
                  <c:v>1860690</c:v>
                </c:pt>
                <c:pt idx="37" formatCode="0.00E+00">
                  <c:v>1877840</c:v>
                </c:pt>
                <c:pt idx="38" formatCode="0.00E+00">
                  <c:v>1894940</c:v>
                </c:pt>
                <c:pt idx="39" formatCode="0.00E+00">
                  <c:v>1911480</c:v>
                </c:pt>
                <c:pt idx="40" formatCode="0.00E+00">
                  <c:v>1928260</c:v>
                </c:pt>
                <c:pt idx="41" formatCode="0.00E+00">
                  <c:v>1945020</c:v>
                </c:pt>
                <c:pt idx="42" formatCode="0.00E+00">
                  <c:v>1961780</c:v>
                </c:pt>
                <c:pt idx="43" formatCode="0.00E+00">
                  <c:v>1978540</c:v>
                </c:pt>
                <c:pt idx="44" formatCode="0.00E+00">
                  <c:v>1995290</c:v>
                </c:pt>
                <c:pt idx="45" formatCode="0.00E+00">
                  <c:v>2012050</c:v>
                </c:pt>
                <c:pt idx="46" formatCode="0.00E+00">
                  <c:v>2028800</c:v>
                </c:pt>
                <c:pt idx="47" formatCode="0.00E+00">
                  <c:v>2045550</c:v>
                </c:pt>
                <c:pt idx="48" formatCode="0.00E+00">
                  <c:v>2062290</c:v>
                </c:pt>
                <c:pt idx="49" formatCode="0.00E+00">
                  <c:v>2079020</c:v>
                </c:pt>
                <c:pt idx="50" formatCode="0.00E+00">
                  <c:v>2095760</c:v>
                </c:pt>
                <c:pt idx="51" formatCode="0.00E+00">
                  <c:v>2112490</c:v>
                </c:pt>
                <c:pt idx="52" formatCode="0.00E+00">
                  <c:v>2129230</c:v>
                </c:pt>
                <c:pt idx="53" formatCode="0.00E+00">
                  <c:v>2145730</c:v>
                </c:pt>
                <c:pt idx="54" formatCode="0.00E+00">
                  <c:v>2162180</c:v>
                </c:pt>
                <c:pt idx="55" formatCode="0.00E+00">
                  <c:v>2178590</c:v>
                </c:pt>
                <c:pt idx="56" formatCode="0.00E+00">
                  <c:v>2194960</c:v>
                </c:pt>
                <c:pt idx="57" formatCode="0.00E+00">
                  <c:v>2211310</c:v>
                </c:pt>
                <c:pt idx="58" formatCode="0.00E+00">
                  <c:v>2227670</c:v>
                </c:pt>
                <c:pt idx="59" formatCode="0.00E+00">
                  <c:v>2244030</c:v>
                </c:pt>
                <c:pt idx="60" formatCode="0.00E+00">
                  <c:v>2260380</c:v>
                </c:pt>
                <c:pt idx="61" formatCode="0.00E+00">
                  <c:v>2276730</c:v>
                </c:pt>
                <c:pt idx="62" formatCode="0.00E+00">
                  <c:v>2293080</c:v>
                </c:pt>
                <c:pt idx="63" formatCode="0.00E+00">
                  <c:v>2309430</c:v>
                </c:pt>
                <c:pt idx="64" formatCode="0.00E+00">
                  <c:v>2325770</c:v>
                </c:pt>
                <c:pt idx="65" formatCode="0.00E+00">
                  <c:v>2342110</c:v>
                </c:pt>
                <c:pt idx="66" formatCode="0.00E+00">
                  <c:v>2358450</c:v>
                </c:pt>
                <c:pt idx="67" formatCode="0.00E+00">
                  <c:v>2374790</c:v>
                </c:pt>
                <c:pt idx="68" formatCode="0.00E+00">
                  <c:v>2391090</c:v>
                </c:pt>
                <c:pt idx="69" formatCode="0.00E+00">
                  <c:v>2407360</c:v>
                </c:pt>
                <c:pt idx="70" formatCode="0.00E+00">
                  <c:v>2423630</c:v>
                </c:pt>
                <c:pt idx="71" formatCode="0.00E+00">
                  <c:v>2439920</c:v>
                </c:pt>
                <c:pt idx="72" formatCode="0.00E+00">
                  <c:v>2456180</c:v>
                </c:pt>
                <c:pt idx="73" formatCode="0.00E+00">
                  <c:v>2472450</c:v>
                </c:pt>
                <c:pt idx="74" formatCode="0.00E+00">
                  <c:v>2488710</c:v>
                </c:pt>
                <c:pt idx="75" formatCode="0.00E+00">
                  <c:v>2504980</c:v>
                </c:pt>
                <c:pt idx="76" formatCode="0.00E+00">
                  <c:v>2521240</c:v>
                </c:pt>
                <c:pt idx="77" formatCode="0.00E+00">
                  <c:v>2537500</c:v>
                </c:pt>
                <c:pt idx="78" formatCode="0.00E+00">
                  <c:v>2553760</c:v>
                </c:pt>
                <c:pt idx="79" formatCode="0.00E+00">
                  <c:v>2570010</c:v>
                </c:pt>
                <c:pt idx="80" formatCode="0.00E+00">
                  <c:v>2586260</c:v>
                </c:pt>
                <c:pt idx="81" formatCode="0.00E+00">
                  <c:v>2602510</c:v>
                </c:pt>
                <c:pt idx="82" formatCode="0.00E+00">
                  <c:v>2618760</c:v>
                </c:pt>
                <c:pt idx="83" formatCode="0.00E+00">
                  <c:v>2635010</c:v>
                </c:pt>
                <c:pt idx="84" formatCode="0.00E+00">
                  <c:v>2651250</c:v>
                </c:pt>
                <c:pt idx="85" formatCode="0.00E+00">
                  <c:v>2667530</c:v>
                </c:pt>
                <c:pt idx="86" formatCode="0.00E+00">
                  <c:v>2683730</c:v>
                </c:pt>
                <c:pt idx="87" formatCode="0.00E+00">
                  <c:v>2699980</c:v>
                </c:pt>
                <c:pt idx="88" formatCode="0.00E+00">
                  <c:v>2716220</c:v>
                </c:pt>
                <c:pt idx="89" formatCode="0.00E+00">
                  <c:v>2732460</c:v>
                </c:pt>
                <c:pt idx="90" formatCode="0.00E+00">
                  <c:v>2748690</c:v>
                </c:pt>
                <c:pt idx="91" formatCode="0.00E+00">
                  <c:v>2764920</c:v>
                </c:pt>
                <c:pt idx="92" formatCode="0.00E+00">
                  <c:v>2780180</c:v>
                </c:pt>
                <c:pt idx="93" formatCode="0.00E+00">
                  <c:v>2795380</c:v>
                </c:pt>
                <c:pt idx="94" formatCode="0.00E+00">
                  <c:v>2810590</c:v>
                </c:pt>
                <c:pt idx="95" formatCode="0.00E+00">
                  <c:v>2825790</c:v>
                </c:pt>
                <c:pt idx="96" formatCode="0.00E+00">
                  <c:v>2840990</c:v>
                </c:pt>
                <c:pt idx="97" formatCode="0.00E+00">
                  <c:v>2856200</c:v>
                </c:pt>
                <c:pt idx="98" formatCode="0.00E+00">
                  <c:v>2871400</c:v>
                </c:pt>
                <c:pt idx="99" formatCode="0.00E+00">
                  <c:v>2886610</c:v>
                </c:pt>
                <c:pt idx="100" formatCode="0.00E+00">
                  <c:v>2901810</c:v>
                </c:pt>
                <c:pt idx="101" formatCode="0.00E+00">
                  <c:v>2917010</c:v>
                </c:pt>
                <c:pt idx="102" formatCode="0.00E+00">
                  <c:v>2932220</c:v>
                </c:pt>
                <c:pt idx="103" formatCode="0.00E+00">
                  <c:v>2947410</c:v>
                </c:pt>
                <c:pt idx="104" formatCode="0.00E+00">
                  <c:v>2962620</c:v>
                </c:pt>
                <c:pt idx="105" formatCode="0.00E+00">
                  <c:v>2977830</c:v>
                </c:pt>
                <c:pt idx="106" formatCode="0.00E+00">
                  <c:v>2993020</c:v>
                </c:pt>
                <c:pt idx="107" formatCode="0.00E+00">
                  <c:v>3008230</c:v>
                </c:pt>
                <c:pt idx="108" formatCode="0.00E+00">
                  <c:v>3023430</c:v>
                </c:pt>
                <c:pt idx="109" formatCode="0.00E+00">
                  <c:v>3038630</c:v>
                </c:pt>
                <c:pt idx="110" formatCode="0.00E+00">
                  <c:v>3053830</c:v>
                </c:pt>
                <c:pt idx="111" formatCode="0.00E+00">
                  <c:v>3069030</c:v>
                </c:pt>
                <c:pt idx="112" formatCode="0.00E+00">
                  <c:v>3084230</c:v>
                </c:pt>
                <c:pt idx="113" formatCode="0.00E+00">
                  <c:v>3099430</c:v>
                </c:pt>
                <c:pt idx="114" formatCode="0.00E+00">
                  <c:v>3114640</c:v>
                </c:pt>
                <c:pt idx="115" formatCode="0.00E+00">
                  <c:v>3129830</c:v>
                </c:pt>
                <c:pt idx="116" formatCode="0.00E+00">
                  <c:v>3145030</c:v>
                </c:pt>
                <c:pt idx="117" formatCode="0.00E+00">
                  <c:v>3160220</c:v>
                </c:pt>
                <c:pt idx="118" formatCode="0.00E+00">
                  <c:v>3175420</c:v>
                </c:pt>
                <c:pt idx="119" formatCode="0.00E+00">
                  <c:v>3190630</c:v>
                </c:pt>
                <c:pt idx="120" formatCode="0.00E+00">
                  <c:v>3205820</c:v>
                </c:pt>
                <c:pt idx="121" formatCode="0.00E+00">
                  <c:v>3221020</c:v>
                </c:pt>
                <c:pt idx="122" formatCode="0.00E+00">
                  <c:v>3236210</c:v>
                </c:pt>
                <c:pt idx="123" formatCode="0.00E+00">
                  <c:v>3251410</c:v>
                </c:pt>
                <c:pt idx="124" formatCode="0.00E+00">
                  <c:v>3266610</c:v>
                </c:pt>
                <c:pt idx="125" formatCode="0.00E+00">
                  <c:v>3281800</c:v>
                </c:pt>
                <c:pt idx="126" formatCode="0.00E+00">
                  <c:v>3297000</c:v>
                </c:pt>
                <c:pt idx="127" formatCode="0.00E+00">
                  <c:v>3312190</c:v>
                </c:pt>
                <c:pt idx="128" formatCode="0.00E+00">
                  <c:v>3327390</c:v>
                </c:pt>
                <c:pt idx="129" formatCode="0.00E+00">
                  <c:v>3342580</c:v>
                </c:pt>
                <c:pt idx="130" formatCode="0.00E+00">
                  <c:v>3357780</c:v>
                </c:pt>
                <c:pt idx="131" formatCode="0.00E+00">
                  <c:v>3372980</c:v>
                </c:pt>
                <c:pt idx="132" formatCode="0.00E+00">
                  <c:v>3388170</c:v>
                </c:pt>
                <c:pt idx="133" formatCode="0.00E+00">
                  <c:v>3403370</c:v>
                </c:pt>
                <c:pt idx="134" formatCode="0.00E+00">
                  <c:v>3418560</c:v>
                </c:pt>
                <c:pt idx="135" formatCode="0.00E+00">
                  <c:v>3433760</c:v>
                </c:pt>
                <c:pt idx="136" formatCode="0.00E+00">
                  <c:v>3448950</c:v>
                </c:pt>
                <c:pt idx="137" formatCode="0.00E+00">
                  <c:v>3464140</c:v>
                </c:pt>
                <c:pt idx="138" formatCode="0.00E+00">
                  <c:v>3479330</c:v>
                </c:pt>
                <c:pt idx="139" formatCode="0.00E+00">
                  <c:v>3494530</c:v>
                </c:pt>
                <c:pt idx="140" formatCode="0.00E+00">
                  <c:v>3509720</c:v>
                </c:pt>
                <c:pt idx="141" formatCode="0.00E+00">
                  <c:v>3524920</c:v>
                </c:pt>
                <c:pt idx="142" formatCode="0.00E+00">
                  <c:v>3540120</c:v>
                </c:pt>
                <c:pt idx="143" formatCode="0.00E+00">
                  <c:v>3555300</c:v>
                </c:pt>
                <c:pt idx="144" formatCode="0.00E+00">
                  <c:v>3570500</c:v>
                </c:pt>
                <c:pt idx="145" formatCode="0.00E+00">
                  <c:v>3585690</c:v>
                </c:pt>
                <c:pt idx="146" formatCode="0.00E+00">
                  <c:v>3600890</c:v>
                </c:pt>
                <c:pt idx="147" formatCode="0.00E+00">
                  <c:v>3616080</c:v>
                </c:pt>
                <c:pt idx="148" formatCode="0.00E+00">
                  <c:v>3631270</c:v>
                </c:pt>
                <c:pt idx="149" formatCode="0.00E+00">
                  <c:v>3646460</c:v>
                </c:pt>
                <c:pt idx="150" formatCode="0.00E+00">
                  <c:v>3661660</c:v>
                </c:pt>
                <c:pt idx="151" formatCode="0.00E+00">
                  <c:v>3676840</c:v>
                </c:pt>
                <c:pt idx="152" formatCode="0.00E+00">
                  <c:v>3692040</c:v>
                </c:pt>
                <c:pt idx="153" formatCode="0.00E+00">
                  <c:v>3707230</c:v>
                </c:pt>
                <c:pt idx="154" formatCode="0.00E+00">
                  <c:v>3722420</c:v>
                </c:pt>
                <c:pt idx="155" formatCode="0.00E+00">
                  <c:v>3737610</c:v>
                </c:pt>
                <c:pt idx="156" formatCode="0.00E+00">
                  <c:v>3752800</c:v>
                </c:pt>
                <c:pt idx="157" formatCode="0.00E+00">
                  <c:v>3767980</c:v>
                </c:pt>
                <c:pt idx="158" formatCode="0.00E+00">
                  <c:v>3783180</c:v>
                </c:pt>
                <c:pt idx="159" formatCode="0.00E+00">
                  <c:v>3798360</c:v>
                </c:pt>
                <c:pt idx="160" formatCode="0.00E+00">
                  <c:v>3813540</c:v>
                </c:pt>
                <c:pt idx="161" formatCode="0.00E+00">
                  <c:v>3828730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B7-4283-9025-702B3B63B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8043640"/>
        <c:axId val="618042656"/>
      </c:scatterChart>
      <c:valAx>
        <c:axId val="618043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Curvature [1/m]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042656"/>
        <c:crosses val="autoZero"/>
        <c:crossBetween val="midCat"/>
      </c:valAx>
      <c:valAx>
        <c:axId val="6180426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Bending Moment [kN-m]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043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/>
              <a:t>Capacity Curve Comparison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Aker</c:v>
          </c:tx>
          <c:marker>
            <c:symbol val="none"/>
          </c:marker>
          <c:xVal>
            <c:numRef>
              <c:f>Sheet1!$I$6:$I$19</c:f>
              <c:numCache>
                <c:formatCode>General</c:formatCode>
                <c:ptCount val="14"/>
                <c:pt idx="0">
                  <c:v>118.1</c:v>
                </c:pt>
                <c:pt idx="1">
                  <c:v>78.7</c:v>
                </c:pt>
                <c:pt idx="2">
                  <c:v>59.1</c:v>
                </c:pt>
                <c:pt idx="3">
                  <c:v>47.2</c:v>
                </c:pt>
                <c:pt idx="4">
                  <c:v>39.4</c:v>
                </c:pt>
                <c:pt idx="5">
                  <c:v>29.5</c:v>
                </c:pt>
                <c:pt idx="6">
                  <c:v>23.6</c:v>
                </c:pt>
                <c:pt idx="7">
                  <c:v>19.7</c:v>
                </c:pt>
                <c:pt idx="8">
                  <c:v>16.899999999999999</c:v>
                </c:pt>
                <c:pt idx="9">
                  <c:v>14.8</c:v>
                </c:pt>
                <c:pt idx="10">
                  <c:v>13.9</c:v>
                </c:pt>
                <c:pt idx="11">
                  <c:v>13.1</c:v>
                </c:pt>
                <c:pt idx="12">
                  <c:v>12.4</c:v>
                </c:pt>
                <c:pt idx="13">
                  <c:v>11.8</c:v>
                </c:pt>
              </c:numCache>
            </c:numRef>
          </c:xVal>
          <c:yVal>
            <c:numRef>
              <c:f>Sheet1!$J$6:$J$19</c:f>
              <c:numCache>
                <c:formatCode>General</c:formatCode>
                <c:ptCount val="14"/>
                <c:pt idx="0">
                  <c:v>1122.3</c:v>
                </c:pt>
                <c:pt idx="1">
                  <c:v>1060</c:v>
                </c:pt>
                <c:pt idx="2">
                  <c:v>997.6</c:v>
                </c:pt>
                <c:pt idx="3">
                  <c:v>935.3</c:v>
                </c:pt>
                <c:pt idx="4">
                  <c:v>872.9</c:v>
                </c:pt>
                <c:pt idx="5">
                  <c:v>748.2</c:v>
                </c:pt>
                <c:pt idx="6">
                  <c:v>623.5</c:v>
                </c:pt>
                <c:pt idx="7">
                  <c:v>498.8</c:v>
                </c:pt>
                <c:pt idx="8">
                  <c:v>374.1</c:v>
                </c:pt>
                <c:pt idx="9">
                  <c:v>249.4</c:v>
                </c:pt>
                <c:pt idx="10">
                  <c:v>187.1</c:v>
                </c:pt>
                <c:pt idx="11">
                  <c:v>124.7</c:v>
                </c:pt>
                <c:pt idx="12">
                  <c:v>62.4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EB0-4798-AC80-29743FD03A9F}"/>
            </c:ext>
          </c:extLst>
        </c:ser>
        <c:ser>
          <c:idx val="1"/>
          <c:order val="1"/>
          <c:tx>
            <c:strRef>
              <c:f>Summary!$E$4</c:f>
              <c:strCache>
                <c:ptCount val="1"/>
                <c:pt idx="0">
                  <c:v>KM-Normal Op (De-rated)</c:v>
                </c:pt>
              </c:strCache>
            </c:strRef>
          </c:tx>
          <c:marker>
            <c:symbol val="none"/>
          </c:marker>
          <c:xVal>
            <c:numRef>
              <c:f>Summary!$K$9:$K$26</c:f>
              <c:numCache>
                <c:formatCode>0.00</c:formatCode>
                <c:ptCount val="18"/>
                <c:pt idx="0">
                  <c:v>89.336545448420694</c:v>
                </c:pt>
                <c:pt idx="1">
                  <c:v>12.829835417323633</c:v>
                </c:pt>
                <c:pt idx="2">
                  <c:v>14.054832733250798</c:v>
                </c:pt>
                <c:pt idx="3">
                  <c:v>15.539181468987593</c:v>
                </c:pt>
                <c:pt idx="4">
                  <c:v>17.374061852648666</c:v>
                </c:pt>
                <c:pt idx="5">
                  <c:v>19.701217528436246</c:v>
                </c:pt>
                <c:pt idx="6">
                  <c:v>22.750255469778303</c:v>
                </c:pt>
                <c:pt idx="7">
                  <c:v>59.299990000000001</c:v>
                </c:pt>
                <c:pt idx="8">
                  <c:v>32.780719788241733</c:v>
                </c:pt>
                <c:pt idx="9">
                  <c:v>42.369816690098162</c:v>
                </c:pt>
                <c:pt idx="10">
                  <c:v>59.96389244892989</c:v>
                </c:pt>
                <c:pt idx="11">
                  <c:v>100.64039067597992</c:v>
                </c:pt>
                <c:pt idx="12">
                  <c:v>298.2520436550783</c:v>
                </c:pt>
                <c:pt idx="13">
                  <c:v>9.5052376841143152E+22</c:v>
                </c:pt>
                <c:pt idx="14">
                  <c:v>3.802086688631248E+23</c:v>
                </c:pt>
              </c:numCache>
            </c:numRef>
          </c:xVal>
          <c:yVal>
            <c:numRef>
              <c:f>Summary!$E$9:$E$26</c:f>
              <c:numCache>
                <c:formatCode>General</c:formatCode>
                <c:ptCount val="18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EB0-4798-AC80-29743FD03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474112"/>
        <c:axId val="410476080"/>
      </c:scatterChart>
      <c:valAx>
        <c:axId val="410474112"/>
        <c:scaling>
          <c:orientation val="minMax"/>
          <c:max val="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MBR [m]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0476080"/>
        <c:crosses val="autoZero"/>
        <c:crossBetween val="midCat"/>
      </c:valAx>
      <c:valAx>
        <c:axId val="410476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Tension [kN]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0474112"/>
        <c:crosses val="autoZero"/>
        <c:crossBetween val="midCat"/>
      </c:valAx>
    </c:plotArea>
    <c:legend>
      <c:legendPos val="t"/>
      <c:overlay val="0"/>
    </c:legend>
    <c:plotVisOnly val="1"/>
    <c:dispBlanksAs val="gap"/>
    <c:showDLblsOverMax val="0"/>
    <c:extLst/>
  </c:chart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434340</xdr:colOff>
      <xdr:row>1</xdr:row>
      <xdr:rowOff>121920</xdr:rowOff>
    </xdr:from>
    <xdr:to>
      <xdr:col>10</xdr:col>
      <xdr:colOff>350520</xdr:colOff>
      <xdr:row>22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12</xdr:row>
          <xdr:rowOff>7620</xdr:rowOff>
        </xdr:from>
        <xdr:to>
          <xdr:col>23</xdr:col>
          <xdr:colOff>838200</xdr:colOff>
          <xdr:row>13</xdr:row>
          <xdr:rowOff>213360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Macro Goalseek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12</xdr:row>
          <xdr:rowOff>7620</xdr:rowOff>
        </xdr:from>
        <xdr:to>
          <xdr:col>23</xdr:col>
          <xdr:colOff>838200</xdr:colOff>
          <xdr:row>13</xdr:row>
          <xdr:rowOff>213360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3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Macro Goalseek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12</xdr:row>
          <xdr:rowOff>7620</xdr:rowOff>
        </xdr:from>
        <xdr:to>
          <xdr:col>23</xdr:col>
          <xdr:colOff>838200</xdr:colOff>
          <xdr:row>13</xdr:row>
          <xdr:rowOff>213360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Macro Goalseek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12</xdr:row>
          <xdr:rowOff>7620</xdr:rowOff>
        </xdr:from>
        <xdr:to>
          <xdr:col>23</xdr:col>
          <xdr:colOff>838200</xdr:colOff>
          <xdr:row>13</xdr:row>
          <xdr:rowOff>213360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5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Macro Goalseek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186690</xdr:colOff>
      <xdr:row>0</xdr:row>
      <xdr:rowOff>110490</xdr:rowOff>
    </xdr:from>
    <xdr:to>
      <xdr:col>18</xdr:col>
      <xdr:colOff>531495</xdr:colOff>
      <xdr:row>26</xdr:row>
      <xdr:rowOff>175260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0AB7-CCE0-4EAA-897D-57DC85C3EF1A}">
  <dimension ref="B2:P290"/>
  <sheetViews>
    <sheetView workbookViewId="0">
      <selection activeCell="M41" sqref="M41"/>
    </sheetView>
  </sheetViews>
  <sheetFormatPr defaultRowHeight="14.4" x14ac:dyDescent="0.3"/>
  <cols>
    <col min="3" max="3" width="9.33203125" bestFit="1" customWidth="1"/>
    <col min="4" max="4" width="24.6640625" bestFit="1" customWidth="1"/>
    <col min="5" max="5" width="11" bestFit="1" customWidth="1"/>
    <col min="7" max="7" width="15.33203125" customWidth="1"/>
    <col min="8" max="8" width="11.44140625" customWidth="1"/>
    <col min="9" max="9" width="14" customWidth="1"/>
    <col min="10" max="10" width="11.6640625" customWidth="1"/>
    <col min="13" max="14" width="12" bestFit="1" customWidth="1"/>
    <col min="19" max="19" width="69.33203125" bestFit="1" customWidth="1"/>
  </cols>
  <sheetData>
    <row r="2" spans="2:16" x14ac:dyDescent="0.3">
      <c r="N2" t="s">
        <v>65</v>
      </c>
      <c r="P2">
        <f>AVERAGE(P9:P13)</f>
        <v>904.88320220762216</v>
      </c>
    </row>
    <row r="3" spans="2:16" x14ac:dyDescent="0.3">
      <c r="B3" t="s">
        <v>65</v>
      </c>
      <c r="N3" t="s">
        <v>67</v>
      </c>
    </row>
    <row r="4" spans="2:16" x14ac:dyDescent="0.3">
      <c r="B4" t="s">
        <v>78</v>
      </c>
      <c r="N4" t="s">
        <v>66</v>
      </c>
    </row>
    <row r="5" spans="2:16" x14ac:dyDescent="0.3">
      <c r="B5" t="s">
        <v>79</v>
      </c>
      <c r="N5" s="16">
        <v>-2.35517E-7</v>
      </c>
      <c r="O5">
        <v>0</v>
      </c>
    </row>
    <row r="6" spans="2:16" x14ac:dyDescent="0.3">
      <c r="B6" t="s">
        <v>65</v>
      </c>
      <c r="C6" s="16"/>
      <c r="N6" s="16">
        <v>5.7877799999999997E-5</v>
      </c>
      <c r="O6">
        <v>0</v>
      </c>
    </row>
    <row r="7" spans="2:16" x14ac:dyDescent="0.3">
      <c r="C7" s="16"/>
      <c r="N7" s="16">
        <v>9.4215200000000006E-5</v>
      </c>
      <c r="O7">
        <v>0</v>
      </c>
    </row>
    <row r="8" spans="2:16" x14ac:dyDescent="0.3">
      <c r="C8" s="16"/>
      <c r="N8">
        <v>1.3055200000000001E-4</v>
      </c>
      <c r="O8">
        <v>0</v>
      </c>
      <c r="P8">
        <f>10^-6*(O9-O8)/(N9-N8)</f>
        <v>0</v>
      </c>
    </row>
    <row r="9" spans="2:16" x14ac:dyDescent="0.3">
      <c r="C9" s="16"/>
      <c r="L9" s="16"/>
      <c r="N9">
        <v>1.6688799999999999E-4</v>
      </c>
      <c r="O9">
        <v>0</v>
      </c>
      <c r="P9">
        <f t="shared" ref="P9:P13" si="0">10^-6*(O10-O9)/(N10-N9)</f>
        <v>904.88013166005908</v>
      </c>
    </row>
    <row r="10" spans="2:16" x14ac:dyDescent="0.3">
      <c r="C10" s="16"/>
      <c r="N10">
        <v>3.4370700000000001E-4</v>
      </c>
      <c r="O10">
        <v>160000</v>
      </c>
      <c r="P10">
        <f t="shared" si="0"/>
        <v>904.88013166005919</v>
      </c>
    </row>
    <row r="11" spans="2:16" x14ac:dyDescent="0.3">
      <c r="C11" s="16"/>
      <c r="N11">
        <v>5.20526E-4</v>
      </c>
      <c r="O11">
        <v>320000</v>
      </c>
      <c r="P11">
        <f t="shared" si="0"/>
        <v>904.88524923933073</v>
      </c>
    </row>
    <row r="12" spans="2:16" x14ac:dyDescent="0.3">
      <c r="B12" t="s">
        <v>65</v>
      </c>
      <c r="C12" s="16"/>
      <c r="N12">
        <v>6.9734400000000002E-4</v>
      </c>
      <c r="O12">
        <v>480000</v>
      </c>
      <c r="P12">
        <f t="shared" si="0"/>
        <v>904.88524923933073</v>
      </c>
    </row>
    <row r="13" spans="2:16" x14ac:dyDescent="0.3">
      <c r="B13" t="s">
        <v>78</v>
      </c>
      <c r="C13" s="16"/>
      <c r="N13">
        <v>8.7416200000000005E-4</v>
      </c>
      <c r="O13">
        <v>640000</v>
      </c>
      <c r="P13">
        <f t="shared" si="0"/>
        <v>904.8852492393313</v>
      </c>
    </row>
    <row r="14" spans="2:16" x14ac:dyDescent="0.3">
      <c r="B14" t="s">
        <v>79</v>
      </c>
      <c r="C14" s="16"/>
      <c r="N14">
        <v>1.05098E-3</v>
      </c>
      <c r="O14">
        <v>800000</v>
      </c>
    </row>
    <row r="15" spans="2:16" x14ac:dyDescent="0.3">
      <c r="B15">
        <v>0</v>
      </c>
      <c r="C15">
        <v>-9.3747900000000008</v>
      </c>
    </row>
    <row r="16" spans="2:16" x14ac:dyDescent="0.3">
      <c r="B16">
        <v>0</v>
      </c>
      <c r="C16">
        <v>9376.11</v>
      </c>
      <c r="D16" s="35"/>
    </row>
    <row r="17" spans="2:13" x14ac:dyDescent="0.3">
      <c r="B17">
        <v>0</v>
      </c>
      <c r="C17">
        <v>9237.59</v>
      </c>
      <c r="D17" s="35"/>
      <c r="M17" s="16"/>
    </row>
    <row r="18" spans="2:13" x14ac:dyDescent="0.3">
      <c r="B18">
        <v>0</v>
      </c>
      <c r="C18">
        <v>9056.89</v>
      </c>
      <c r="D18" s="35"/>
      <c r="M18" s="16"/>
    </row>
    <row r="19" spans="2:13" x14ac:dyDescent="0.3">
      <c r="B19">
        <v>0</v>
      </c>
      <c r="C19">
        <v>8827.6299999999992</v>
      </c>
      <c r="D19" s="35"/>
      <c r="M19" s="16"/>
    </row>
    <row r="20" spans="2:13" x14ac:dyDescent="0.3">
      <c r="B20">
        <v>0</v>
      </c>
      <c r="C20">
        <v>8778.93</v>
      </c>
      <c r="D20" s="35"/>
    </row>
    <row r="21" spans="2:13" x14ac:dyDescent="0.3">
      <c r="B21" s="16">
        <v>0</v>
      </c>
      <c r="C21" s="16">
        <v>8738.09</v>
      </c>
      <c r="D21" s="35"/>
    </row>
    <row r="22" spans="2:13" x14ac:dyDescent="0.3">
      <c r="B22" s="16">
        <v>0</v>
      </c>
      <c r="C22" s="16">
        <v>8705.09</v>
      </c>
      <c r="D22" s="35"/>
    </row>
    <row r="23" spans="2:13" x14ac:dyDescent="0.3">
      <c r="B23" s="16">
        <v>0</v>
      </c>
      <c r="C23" s="16">
        <v>8679.6200000000008</v>
      </c>
      <c r="D23" s="35"/>
    </row>
    <row r="24" spans="2:13" x14ac:dyDescent="0.3">
      <c r="B24" s="16">
        <v>0</v>
      </c>
      <c r="C24" s="16">
        <v>8661.6</v>
      </c>
      <c r="D24" s="35"/>
    </row>
    <row r="25" spans="2:13" x14ac:dyDescent="0.3">
      <c r="B25" s="16">
        <v>4.9999999999999998E-8</v>
      </c>
      <c r="C25" s="16">
        <v>334203</v>
      </c>
      <c r="D25" s="35">
        <f>10^-9*(C25-C24)/(B25-B24)</f>
        <v>6510.8280000000004</v>
      </c>
    </row>
    <row r="26" spans="2:13" x14ac:dyDescent="0.3">
      <c r="B26" s="16">
        <v>9.9999999999999995E-8</v>
      </c>
      <c r="C26" s="16">
        <v>659780</v>
      </c>
      <c r="D26" s="35">
        <f t="shared" ref="D26:D89" si="1">10^-9*(C26-C25)/(B26-B25)</f>
        <v>6511.5400000000009</v>
      </c>
      <c r="F26">
        <v>1E-3</v>
      </c>
    </row>
    <row r="27" spans="2:13" x14ac:dyDescent="0.3">
      <c r="B27" s="16">
        <v>1.4999999999999999E-7</v>
      </c>
      <c r="C27" s="16">
        <v>985368</v>
      </c>
      <c r="D27" s="35">
        <f t="shared" si="1"/>
        <v>6511.7600000000011</v>
      </c>
      <c r="M27" s="16"/>
    </row>
    <row r="28" spans="2:13" x14ac:dyDescent="0.3">
      <c r="B28" s="16">
        <v>1.9999999999999999E-7</v>
      </c>
      <c r="C28" s="16">
        <v>1296830</v>
      </c>
      <c r="D28" s="35">
        <f t="shared" si="1"/>
        <v>6229.2400000000007</v>
      </c>
      <c r="L28" s="16"/>
      <c r="M28" s="16"/>
    </row>
    <row r="29" spans="2:13" x14ac:dyDescent="0.3">
      <c r="B29" s="16">
        <v>2.4999999999999999E-7</v>
      </c>
      <c r="C29" s="16">
        <v>1408390</v>
      </c>
      <c r="D29" s="35">
        <f t="shared" si="1"/>
        <v>2231.2000000000003</v>
      </c>
      <c r="L29" s="16"/>
      <c r="M29" s="16"/>
    </row>
    <row r="30" spans="2:13" x14ac:dyDescent="0.3">
      <c r="B30" s="16">
        <v>2.9999999999999999E-7</v>
      </c>
      <c r="C30" s="16">
        <v>1456900</v>
      </c>
      <c r="D30" s="35">
        <f t="shared" si="1"/>
        <v>970.2</v>
      </c>
      <c r="L30" s="16"/>
      <c r="M30" s="16"/>
    </row>
    <row r="31" spans="2:13" x14ac:dyDescent="0.3">
      <c r="B31" s="16">
        <v>3.4999999999999998E-7</v>
      </c>
      <c r="C31" s="16">
        <v>1484270</v>
      </c>
      <c r="D31" s="35">
        <f t="shared" si="1"/>
        <v>547.40000000000009</v>
      </c>
      <c r="M31" s="16"/>
    </row>
    <row r="32" spans="2:13" x14ac:dyDescent="0.3">
      <c r="B32" s="16">
        <v>3.9999999999999998E-7</v>
      </c>
      <c r="C32" s="16">
        <v>1509610</v>
      </c>
      <c r="D32" s="35">
        <f t="shared" si="1"/>
        <v>506.80000000000007</v>
      </c>
      <c r="M32" s="16"/>
    </row>
    <row r="33" spans="2:13" x14ac:dyDescent="0.3">
      <c r="B33" s="16">
        <v>4.4999999999999998E-7</v>
      </c>
      <c r="C33" s="16">
        <v>1529560</v>
      </c>
      <c r="D33" s="35">
        <f t="shared" si="1"/>
        <v>399</v>
      </c>
      <c r="M33" s="16"/>
    </row>
    <row r="34" spans="2:13" x14ac:dyDescent="0.3">
      <c r="B34" s="16">
        <v>4.9999999999999998E-7</v>
      </c>
      <c r="C34" s="16">
        <v>1549500</v>
      </c>
      <c r="D34" s="35">
        <f t="shared" si="1"/>
        <v>398.80000000000007</v>
      </c>
      <c r="M34" s="16"/>
    </row>
    <row r="35" spans="2:13" x14ac:dyDescent="0.3">
      <c r="B35" s="16">
        <v>5.5000000000000003E-7</v>
      </c>
      <c r="C35" s="16">
        <v>1569450</v>
      </c>
      <c r="D35" s="35">
        <f t="shared" si="1"/>
        <v>398.9999999999996</v>
      </c>
      <c r="M35" s="16"/>
    </row>
    <row r="36" spans="2:13" x14ac:dyDescent="0.3">
      <c r="B36" s="16">
        <v>5.9999999999999997E-7</v>
      </c>
      <c r="C36" s="16">
        <v>1589390</v>
      </c>
      <c r="D36" s="35">
        <f t="shared" si="1"/>
        <v>398.80000000000047</v>
      </c>
    </row>
    <row r="37" spans="2:13" ht="16.2" x14ac:dyDescent="0.3">
      <c r="B37" s="16">
        <v>6.5000000000000002E-7</v>
      </c>
      <c r="C37" s="16">
        <v>1609320</v>
      </c>
      <c r="D37" s="35">
        <f t="shared" si="1"/>
        <v>398.59999999999962</v>
      </c>
      <c r="G37" s="36" t="s">
        <v>84</v>
      </c>
      <c r="H37" s="36" t="s">
        <v>68</v>
      </c>
      <c r="I37" s="36" t="s">
        <v>85</v>
      </c>
      <c r="J37" s="36" t="s">
        <v>86</v>
      </c>
    </row>
    <row r="38" spans="2:13" x14ac:dyDescent="0.3">
      <c r="B38" s="16">
        <v>6.9999999999999997E-7</v>
      </c>
      <c r="C38" s="16">
        <v>1628950</v>
      </c>
      <c r="D38" s="35">
        <f t="shared" si="1"/>
        <v>392.60000000000042</v>
      </c>
      <c r="G38" s="18" t="s">
        <v>87</v>
      </c>
      <c r="H38" s="20">
        <v>846</v>
      </c>
      <c r="I38" s="20">
        <v>206</v>
      </c>
      <c r="J38" s="20">
        <v>158</v>
      </c>
    </row>
    <row r="39" spans="2:13" x14ac:dyDescent="0.3">
      <c r="B39" s="16">
        <v>7.5000000000000002E-7</v>
      </c>
      <c r="C39" s="16">
        <v>1646960</v>
      </c>
      <c r="D39" s="35">
        <f t="shared" si="1"/>
        <v>360.1999999999997</v>
      </c>
      <c r="G39" s="18" t="s">
        <v>77</v>
      </c>
      <c r="H39" s="20">
        <f>P2</f>
        <v>904.88320220762216</v>
      </c>
      <c r="I39" s="20">
        <v>237</v>
      </c>
      <c r="J39" s="20">
        <v>138</v>
      </c>
    </row>
    <row r="40" spans="2:13" x14ac:dyDescent="0.3">
      <c r="B40" s="16">
        <v>7.9999999999999996E-7</v>
      </c>
      <c r="C40" s="16">
        <v>1664810</v>
      </c>
      <c r="D40" s="35">
        <f t="shared" si="1"/>
        <v>357.0000000000004</v>
      </c>
    </row>
    <row r="41" spans="2:13" x14ac:dyDescent="0.3">
      <c r="B41" s="16">
        <v>8.5000000000000001E-7</v>
      </c>
      <c r="C41" s="16">
        <v>1682680</v>
      </c>
      <c r="D41" s="35">
        <f t="shared" si="1"/>
        <v>357.39999999999964</v>
      </c>
    </row>
    <row r="42" spans="2:13" x14ac:dyDescent="0.3">
      <c r="B42" s="16">
        <v>8.9999999999999996E-7</v>
      </c>
      <c r="C42" s="16">
        <v>1700540</v>
      </c>
      <c r="D42" s="35">
        <f t="shared" si="1"/>
        <v>357.20000000000044</v>
      </c>
    </row>
    <row r="43" spans="2:13" x14ac:dyDescent="0.3">
      <c r="B43" s="16">
        <v>9.5000000000000001E-7</v>
      </c>
      <c r="C43" s="16">
        <v>1718410</v>
      </c>
      <c r="D43" s="35">
        <f t="shared" si="1"/>
        <v>357.39999999999964</v>
      </c>
      <c r="G43" t="s">
        <v>81</v>
      </c>
      <c r="K43" t="s">
        <v>80</v>
      </c>
      <c r="L43" s="16"/>
    </row>
    <row r="44" spans="2:13" x14ac:dyDescent="0.3">
      <c r="B44" s="16">
        <v>9.9999999999999995E-7</v>
      </c>
      <c r="C44" s="16">
        <v>1736270</v>
      </c>
      <c r="D44" s="35">
        <f t="shared" si="1"/>
        <v>357.20000000000044</v>
      </c>
      <c r="G44" t="s">
        <v>65</v>
      </c>
      <c r="K44" t="s">
        <v>65</v>
      </c>
      <c r="L44" s="16"/>
    </row>
    <row r="45" spans="2:13" x14ac:dyDescent="0.3">
      <c r="B45" s="16">
        <v>1.0499999999999999E-6</v>
      </c>
      <c r="C45" s="16">
        <v>1754140</v>
      </c>
      <c r="D45" s="35">
        <f t="shared" si="1"/>
        <v>357.40000000000038</v>
      </c>
      <c r="G45" t="s">
        <v>82</v>
      </c>
      <c r="K45" t="s">
        <v>82</v>
      </c>
      <c r="L45" s="16"/>
    </row>
    <row r="46" spans="2:13" x14ac:dyDescent="0.3">
      <c r="B46" s="16">
        <v>1.1000000000000001E-6</v>
      </c>
      <c r="C46" s="16">
        <v>1772010</v>
      </c>
      <c r="D46" s="35">
        <f t="shared" si="1"/>
        <v>357.3999999999989</v>
      </c>
      <c r="G46" t="s">
        <v>83</v>
      </c>
      <c r="K46" t="s">
        <v>83</v>
      </c>
      <c r="L46" s="16"/>
    </row>
    <row r="47" spans="2:13" x14ac:dyDescent="0.3">
      <c r="B47" s="16">
        <v>1.15E-6</v>
      </c>
      <c r="C47" s="16">
        <v>1789880</v>
      </c>
      <c r="D47" s="35">
        <f t="shared" si="1"/>
        <v>357.40000000000038</v>
      </c>
      <c r="G47">
        <v>0</v>
      </c>
      <c r="H47">
        <v>-25.522200000000002</v>
      </c>
      <c r="K47">
        <v>0</v>
      </c>
      <c r="L47" s="16">
        <v>-25.522200000000002</v>
      </c>
    </row>
    <row r="48" spans="2:13" x14ac:dyDescent="0.3">
      <c r="B48" s="16">
        <v>1.1999999999999999E-6</v>
      </c>
      <c r="C48" s="16">
        <v>1807740</v>
      </c>
      <c r="D48" s="35">
        <f t="shared" si="1"/>
        <v>357.20000000000044</v>
      </c>
      <c r="G48">
        <v>0</v>
      </c>
      <c r="H48">
        <v>27156.1</v>
      </c>
      <c r="K48">
        <v>0</v>
      </c>
      <c r="L48" s="16">
        <v>27156.1</v>
      </c>
    </row>
    <row r="49" spans="2:13" x14ac:dyDescent="0.3">
      <c r="B49" s="16">
        <v>1.2500000000000001E-6</v>
      </c>
      <c r="C49" s="16">
        <v>1825610</v>
      </c>
      <c r="D49" s="35">
        <f t="shared" si="1"/>
        <v>357.3999999999989</v>
      </c>
      <c r="G49">
        <v>0</v>
      </c>
      <c r="H49">
        <v>39226.699999999997</v>
      </c>
      <c r="K49">
        <v>0</v>
      </c>
      <c r="L49" s="16">
        <v>39226.699999999997</v>
      </c>
    </row>
    <row r="50" spans="2:13" x14ac:dyDescent="0.3">
      <c r="B50" s="16">
        <v>1.3E-6</v>
      </c>
      <c r="C50" s="16">
        <v>1843480</v>
      </c>
      <c r="D50" s="35">
        <f t="shared" si="1"/>
        <v>357.40000000000038</v>
      </c>
      <c r="G50">
        <v>0</v>
      </c>
      <c r="H50">
        <v>54913.5</v>
      </c>
      <c r="K50">
        <v>0</v>
      </c>
      <c r="L50" s="16">
        <v>54913.5</v>
      </c>
    </row>
    <row r="51" spans="2:13" x14ac:dyDescent="0.3">
      <c r="B51" s="16">
        <v>1.35E-6</v>
      </c>
      <c r="C51" s="16">
        <v>1860690</v>
      </c>
      <c r="D51" s="35">
        <f t="shared" si="1"/>
        <v>344.20000000000039</v>
      </c>
      <c r="G51">
        <v>0</v>
      </c>
      <c r="H51">
        <v>67449.3</v>
      </c>
      <c r="K51">
        <v>0</v>
      </c>
      <c r="L51" s="16">
        <v>67449.3</v>
      </c>
    </row>
    <row r="52" spans="2:13" x14ac:dyDescent="0.3">
      <c r="B52" s="16">
        <v>1.3999999999999999E-6</v>
      </c>
      <c r="C52" s="16">
        <v>1877840</v>
      </c>
      <c r="D52" s="35">
        <f t="shared" si="1"/>
        <v>343.0000000000004</v>
      </c>
      <c r="G52">
        <v>0</v>
      </c>
      <c r="H52">
        <v>679757</v>
      </c>
      <c r="K52">
        <v>0</v>
      </c>
      <c r="L52" s="16">
        <v>679757</v>
      </c>
    </row>
    <row r="53" spans="2:13" x14ac:dyDescent="0.3">
      <c r="B53" s="16">
        <v>1.4500000000000001E-6</v>
      </c>
      <c r="C53" s="16">
        <v>1894940</v>
      </c>
      <c r="D53" s="35">
        <f t="shared" si="1"/>
        <v>341.99999999999898</v>
      </c>
      <c r="G53">
        <v>0</v>
      </c>
      <c r="H53" s="16">
        <v>1292040</v>
      </c>
      <c r="K53">
        <v>0</v>
      </c>
      <c r="L53" s="16">
        <v>1292040</v>
      </c>
    </row>
    <row r="54" spans="2:13" x14ac:dyDescent="0.3">
      <c r="B54" s="16">
        <v>1.5E-6</v>
      </c>
      <c r="C54" s="16">
        <v>1911480</v>
      </c>
      <c r="D54" s="35">
        <f t="shared" si="1"/>
        <v>330.80000000000041</v>
      </c>
      <c r="G54">
        <v>0</v>
      </c>
      <c r="H54" s="16">
        <v>1904280</v>
      </c>
      <c r="K54">
        <v>0</v>
      </c>
      <c r="L54" s="16">
        <v>1904280</v>
      </c>
    </row>
    <row r="55" spans="2:13" x14ac:dyDescent="0.3">
      <c r="B55" s="16">
        <v>1.55E-6</v>
      </c>
      <c r="C55" s="16">
        <v>1928260</v>
      </c>
      <c r="D55" s="35">
        <f t="shared" si="1"/>
        <v>335.60000000000042</v>
      </c>
      <c r="G55">
        <v>0</v>
      </c>
      <c r="H55" s="16">
        <v>2516460</v>
      </c>
      <c r="K55">
        <v>0</v>
      </c>
      <c r="L55" s="16">
        <v>2516460</v>
      </c>
    </row>
    <row r="56" spans="2:13" x14ac:dyDescent="0.3">
      <c r="B56" s="16">
        <v>1.5999999999999999E-6</v>
      </c>
      <c r="C56" s="16">
        <v>1945020</v>
      </c>
      <c r="D56" s="35">
        <f t="shared" si="1"/>
        <v>335.20000000000039</v>
      </c>
      <c r="G56">
        <v>0</v>
      </c>
      <c r="H56" s="16">
        <v>3128600</v>
      </c>
      <c r="K56">
        <v>0</v>
      </c>
      <c r="L56" s="16">
        <v>3128600</v>
      </c>
    </row>
    <row r="57" spans="2:13" x14ac:dyDescent="0.3">
      <c r="B57" s="16">
        <v>1.6500000000000001E-6</v>
      </c>
      <c r="C57" s="16">
        <v>1961780</v>
      </c>
      <c r="D57" s="35">
        <f t="shared" si="1"/>
        <v>335.19999999999897</v>
      </c>
      <c r="G57" s="16">
        <v>4.9999999999999998E-8</v>
      </c>
      <c r="H57" s="16">
        <v>3136000</v>
      </c>
      <c r="I57">
        <f>10^-9*(H57-H56)/(G57-G56)</f>
        <v>148</v>
      </c>
      <c r="K57" s="16">
        <v>-4.9999999999999998E-8</v>
      </c>
      <c r="L57" s="16">
        <v>3122450</v>
      </c>
      <c r="M57">
        <f>10^-9*(L57-L56)/(K57-K56)</f>
        <v>123.00000000000001</v>
      </c>
    </row>
    <row r="58" spans="2:13" x14ac:dyDescent="0.3">
      <c r="B58" s="16">
        <v>1.7E-6</v>
      </c>
      <c r="C58" s="16">
        <v>1978540</v>
      </c>
      <c r="D58" s="35">
        <f t="shared" si="1"/>
        <v>335.20000000000039</v>
      </c>
      <c r="G58" s="16">
        <v>9.9999999999999995E-8</v>
      </c>
      <c r="H58" s="16">
        <v>3142770</v>
      </c>
      <c r="I58">
        <f t="shared" ref="I58:I66" si="2">10^-9*(H58-H57)/(G58-G57)</f>
        <v>135.4</v>
      </c>
      <c r="K58" s="16">
        <v>-9.9999999999999995E-8</v>
      </c>
      <c r="L58" s="16">
        <v>3115670</v>
      </c>
      <c r="M58">
        <f t="shared" ref="M58:M73" si="3">10^-9*(L58-L57)/(K58-K57)</f>
        <v>135.60000000000002</v>
      </c>
    </row>
    <row r="59" spans="2:13" x14ac:dyDescent="0.3">
      <c r="B59" s="16">
        <v>1.75E-6</v>
      </c>
      <c r="C59" s="16">
        <v>1995290</v>
      </c>
      <c r="D59" s="35">
        <f t="shared" si="1"/>
        <v>335.0000000000004</v>
      </c>
      <c r="G59" s="16">
        <v>1.4999999999999999E-7</v>
      </c>
      <c r="H59" s="16">
        <v>3149550</v>
      </c>
      <c r="I59">
        <f t="shared" si="2"/>
        <v>135.60000000000002</v>
      </c>
      <c r="K59" s="16">
        <v>-1.4999999999999999E-7</v>
      </c>
      <c r="L59" s="16">
        <v>3108900</v>
      </c>
      <c r="M59">
        <f t="shared" si="3"/>
        <v>135.4</v>
      </c>
    </row>
    <row r="60" spans="2:13" x14ac:dyDescent="0.3">
      <c r="B60" s="16">
        <v>1.7999999999999999E-6</v>
      </c>
      <c r="C60" s="16">
        <v>2012050</v>
      </c>
      <c r="D60" s="35">
        <f t="shared" si="1"/>
        <v>335.20000000000039</v>
      </c>
      <c r="G60" s="16">
        <v>1.9999999999999999E-7</v>
      </c>
      <c r="H60" s="16">
        <v>3156320</v>
      </c>
      <c r="I60">
        <f t="shared" si="2"/>
        <v>135.4</v>
      </c>
      <c r="K60" s="16">
        <v>-1.9999999999999999E-7</v>
      </c>
      <c r="L60" s="16">
        <v>3102120</v>
      </c>
      <c r="M60">
        <f t="shared" si="3"/>
        <v>135.60000000000002</v>
      </c>
    </row>
    <row r="61" spans="2:13" x14ac:dyDescent="0.3">
      <c r="B61" s="16">
        <v>1.8500000000000001E-6</v>
      </c>
      <c r="C61" s="16">
        <v>2028800</v>
      </c>
      <c r="D61" s="35">
        <f t="shared" si="1"/>
        <v>334.99999999999898</v>
      </c>
      <c r="G61" s="16">
        <v>2.4999999999999999E-7</v>
      </c>
      <c r="H61" s="16">
        <v>3163100</v>
      </c>
      <c r="I61">
        <f t="shared" si="2"/>
        <v>135.60000000000002</v>
      </c>
      <c r="K61" s="16">
        <v>-2.4999999999999999E-7</v>
      </c>
      <c r="L61" s="16">
        <v>3095340</v>
      </c>
      <c r="M61">
        <f t="shared" si="3"/>
        <v>135.60000000000002</v>
      </c>
    </row>
    <row r="62" spans="2:13" x14ac:dyDescent="0.3">
      <c r="B62" s="16">
        <v>1.9E-6</v>
      </c>
      <c r="C62" s="16">
        <v>2045550</v>
      </c>
      <c r="D62" s="35">
        <f t="shared" si="1"/>
        <v>335.0000000000004</v>
      </c>
      <c r="G62" s="16">
        <v>2.9999999999999999E-7</v>
      </c>
      <c r="H62" s="16">
        <v>3169880</v>
      </c>
      <c r="I62">
        <f t="shared" si="2"/>
        <v>135.60000000000002</v>
      </c>
      <c r="K62" s="16">
        <v>-2.9999999999999999E-7</v>
      </c>
      <c r="L62" s="16">
        <v>3088570</v>
      </c>
      <c r="M62">
        <f t="shared" si="3"/>
        <v>135.4</v>
      </c>
    </row>
    <row r="63" spans="2:13" x14ac:dyDescent="0.3">
      <c r="B63" s="16">
        <v>1.95E-6</v>
      </c>
      <c r="C63" s="16">
        <v>2062290</v>
      </c>
      <c r="D63" s="35">
        <f t="shared" si="1"/>
        <v>334.80000000000041</v>
      </c>
      <c r="G63" s="16">
        <v>3.4999999999999998E-7</v>
      </c>
      <c r="H63" s="16">
        <v>3176650</v>
      </c>
      <c r="I63">
        <f t="shared" si="2"/>
        <v>135.4</v>
      </c>
      <c r="K63" s="16">
        <v>-3.4999999999999998E-7</v>
      </c>
      <c r="L63" s="16">
        <v>3081790</v>
      </c>
      <c r="M63">
        <f t="shared" si="3"/>
        <v>135.60000000000002</v>
      </c>
    </row>
    <row r="64" spans="2:13" x14ac:dyDescent="0.3">
      <c r="B64" s="16">
        <v>1.9999999999999999E-6</v>
      </c>
      <c r="C64" s="16">
        <v>2079020</v>
      </c>
      <c r="D64" s="35">
        <f t="shared" si="1"/>
        <v>334.60000000000036</v>
      </c>
      <c r="G64" s="16">
        <v>3.9999999999999998E-7</v>
      </c>
      <c r="H64" s="16">
        <v>3183430</v>
      </c>
      <c r="I64">
        <f t="shared" si="2"/>
        <v>135.60000000000002</v>
      </c>
      <c r="K64" s="16">
        <v>-3.9999999999999998E-7</v>
      </c>
      <c r="L64" s="16">
        <v>3075020</v>
      </c>
      <c r="M64">
        <f t="shared" si="3"/>
        <v>135.4</v>
      </c>
    </row>
    <row r="65" spans="2:13" x14ac:dyDescent="0.3">
      <c r="B65" s="16">
        <v>2.0499999999999999E-6</v>
      </c>
      <c r="C65" s="16">
        <v>2095760</v>
      </c>
      <c r="D65" s="35">
        <f t="shared" si="1"/>
        <v>334.80000000000041</v>
      </c>
      <c r="G65" s="16">
        <v>4.4999999999999998E-7</v>
      </c>
      <c r="H65" s="16">
        <v>3190200</v>
      </c>
      <c r="I65">
        <f t="shared" si="2"/>
        <v>135.4</v>
      </c>
      <c r="K65" s="16">
        <v>-4.4999999999999998E-7</v>
      </c>
      <c r="L65" s="16">
        <v>3068240</v>
      </c>
      <c r="M65">
        <f t="shared" si="3"/>
        <v>135.60000000000002</v>
      </c>
    </row>
    <row r="66" spans="2:13" x14ac:dyDescent="0.3">
      <c r="B66" s="16">
        <v>2.0999999999999998E-6</v>
      </c>
      <c r="C66" s="16">
        <v>2112490</v>
      </c>
      <c r="D66" s="35">
        <f t="shared" si="1"/>
        <v>334.60000000000036</v>
      </c>
      <c r="G66" s="16">
        <v>4.9999999999999998E-7</v>
      </c>
      <c r="H66" s="16">
        <v>3196980</v>
      </c>
      <c r="I66">
        <f t="shared" si="2"/>
        <v>135.60000000000002</v>
      </c>
      <c r="K66" s="16">
        <v>-4.9999999999999998E-7</v>
      </c>
      <c r="L66" s="16">
        <v>3061460</v>
      </c>
      <c r="M66">
        <f t="shared" si="3"/>
        <v>135.60000000000002</v>
      </c>
    </row>
    <row r="67" spans="2:13" x14ac:dyDescent="0.3">
      <c r="B67" s="16">
        <v>2.1500000000000002E-6</v>
      </c>
      <c r="C67" s="16">
        <v>2129230</v>
      </c>
      <c r="D67" s="35">
        <f t="shared" si="1"/>
        <v>334.79999999999757</v>
      </c>
      <c r="K67" s="16">
        <v>-4.9666699999999998E-7</v>
      </c>
      <c r="L67" s="16">
        <v>3061920</v>
      </c>
      <c r="M67">
        <f t="shared" si="3"/>
        <v>138.01380138013826</v>
      </c>
    </row>
    <row r="68" spans="2:13" x14ac:dyDescent="0.3">
      <c r="B68" s="16">
        <v>2.2000000000000001E-6</v>
      </c>
      <c r="C68" s="16">
        <v>2145730</v>
      </c>
      <c r="D68" s="35">
        <f t="shared" si="1"/>
        <v>330.0000000000004</v>
      </c>
      <c r="K68" s="16">
        <v>-4.9333299999999996E-7</v>
      </c>
      <c r="L68" s="16">
        <v>3062370</v>
      </c>
      <c r="M68">
        <f t="shared" si="3"/>
        <v>134.97300539891936</v>
      </c>
    </row>
    <row r="69" spans="2:13" x14ac:dyDescent="0.3">
      <c r="B69" s="16">
        <v>2.2500000000000001E-6</v>
      </c>
      <c r="C69" s="16">
        <v>2162180</v>
      </c>
      <c r="D69" s="35">
        <f t="shared" si="1"/>
        <v>329.00000000000034</v>
      </c>
      <c r="K69" s="16">
        <v>-4.8999999999999997E-7</v>
      </c>
      <c r="L69" s="16">
        <v>3062820</v>
      </c>
      <c r="M69">
        <f t="shared" si="3"/>
        <v>135.01350135013527</v>
      </c>
    </row>
    <row r="70" spans="2:13" x14ac:dyDescent="0.3">
      <c r="B70" s="16">
        <v>2.3E-6</v>
      </c>
      <c r="C70" s="16">
        <v>2178590</v>
      </c>
      <c r="D70" s="35">
        <f t="shared" si="1"/>
        <v>328.20000000000039</v>
      </c>
      <c r="K70" s="16">
        <v>-4.8666699999999997E-7</v>
      </c>
      <c r="L70" s="16">
        <v>3063270</v>
      </c>
      <c r="M70">
        <f t="shared" si="3"/>
        <v>135.01350135013527</v>
      </c>
    </row>
    <row r="71" spans="2:13" x14ac:dyDescent="0.3">
      <c r="B71" s="16">
        <v>2.3499999999999999E-6</v>
      </c>
      <c r="C71" s="16">
        <v>2194960</v>
      </c>
      <c r="D71" s="35">
        <f t="shared" si="1"/>
        <v>327.40000000000038</v>
      </c>
      <c r="K71" s="16">
        <v>-4.8333299999999995E-7</v>
      </c>
      <c r="L71" s="16">
        <v>3063720</v>
      </c>
      <c r="M71">
        <f t="shared" si="3"/>
        <v>134.97300539891936</v>
      </c>
    </row>
    <row r="72" spans="2:13" x14ac:dyDescent="0.3">
      <c r="B72" s="16">
        <v>2.3999999999999999E-6</v>
      </c>
      <c r="C72" s="16">
        <v>2211310</v>
      </c>
      <c r="D72" s="35">
        <f t="shared" si="1"/>
        <v>327.0000000000004</v>
      </c>
      <c r="K72" s="16">
        <v>-4.7999999999999996E-7</v>
      </c>
      <c r="L72" s="16">
        <v>3064170</v>
      </c>
      <c r="M72">
        <f t="shared" si="3"/>
        <v>135.01350135013527</v>
      </c>
    </row>
    <row r="73" spans="2:13" x14ac:dyDescent="0.3">
      <c r="B73" s="16">
        <v>2.4499999999999998E-6</v>
      </c>
      <c r="C73" s="16">
        <v>2227670</v>
      </c>
      <c r="D73" s="35">
        <f t="shared" si="1"/>
        <v>327.20000000000039</v>
      </c>
      <c r="K73" s="16">
        <v>-4.7666700000000002E-7</v>
      </c>
      <c r="L73" s="16">
        <v>3064630</v>
      </c>
      <c r="M73">
        <f t="shared" si="3"/>
        <v>138.01380138014045</v>
      </c>
    </row>
    <row r="74" spans="2:13" x14ac:dyDescent="0.3">
      <c r="B74" s="16">
        <v>2.5000000000000002E-6</v>
      </c>
      <c r="C74" s="16">
        <v>2244030</v>
      </c>
      <c r="D74" s="35">
        <f t="shared" si="1"/>
        <v>327.19999999999766</v>
      </c>
      <c r="L74" s="16"/>
    </row>
    <row r="75" spans="2:13" x14ac:dyDescent="0.3">
      <c r="B75" s="16">
        <v>2.5500000000000001E-6</v>
      </c>
      <c r="C75" s="16">
        <v>2260380</v>
      </c>
      <c r="D75" s="35">
        <f t="shared" si="1"/>
        <v>327.0000000000004</v>
      </c>
      <c r="L75" s="16"/>
    </row>
    <row r="76" spans="2:13" x14ac:dyDescent="0.3">
      <c r="B76" s="16">
        <v>2.6000000000000001E-6</v>
      </c>
      <c r="C76" s="16">
        <v>2276730</v>
      </c>
      <c r="D76" s="35">
        <f t="shared" si="1"/>
        <v>327.0000000000004</v>
      </c>
      <c r="L76" s="16"/>
    </row>
    <row r="77" spans="2:13" x14ac:dyDescent="0.3">
      <c r="B77" s="16">
        <v>2.65E-6</v>
      </c>
      <c r="C77" s="16">
        <v>2293080</v>
      </c>
      <c r="D77" s="35">
        <f t="shared" si="1"/>
        <v>327.0000000000004</v>
      </c>
    </row>
    <row r="78" spans="2:13" x14ac:dyDescent="0.3">
      <c r="B78" s="16">
        <v>2.7E-6</v>
      </c>
      <c r="C78" s="16">
        <v>2309430</v>
      </c>
      <c r="D78" s="35">
        <f t="shared" si="1"/>
        <v>327.0000000000004</v>
      </c>
    </row>
    <row r="79" spans="2:13" x14ac:dyDescent="0.3">
      <c r="B79" s="16">
        <v>2.7499999999999999E-6</v>
      </c>
      <c r="C79" s="16">
        <v>2325770</v>
      </c>
      <c r="D79" s="35">
        <f t="shared" si="1"/>
        <v>326.80000000000035</v>
      </c>
    </row>
    <row r="80" spans="2:13" x14ac:dyDescent="0.3">
      <c r="B80" s="16">
        <v>2.7999999999999999E-6</v>
      </c>
      <c r="C80" s="16">
        <v>2342110</v>
      </c>
      <c r="D80" s="35">
        <f t="shared" si="1"/>
        <v>326.80000000000035</v>
      </c>
    </row>
    <row r="81" spans="2:4" x14ac:dyDescent="0.3">
      <c r="B81" s="16">
        <v>2.8499999999999998E-6</v>
      </c>
      <c r="C81" s="16">
        <v>2358450</v>
      </c>
      <c r="D81" s="35">
        <f t="shared" si="1"/>
        <v>326.80000000000035</v>
      </c>
    </row>
    <row r="82" spans="2:4" x14ac:dyDescent="0.3">
      <c r="B82" s="16">
        <v>2.9000000000000002E-6</v>
      </c>
      <c r="C82" s="16">
        <v>2374790</v>
      </c>
      <c r="D82" s="35">
        <f t="shared" si="1"/>
        <v>326.79999999999757</v>
      </c>
    </row>
    <row r="83" spans="2:4" x14ac:dyDescent="0.3">
      <c r="B83" s="16">
        <v>2.9500000000000001E-6</v>
      </c>
      <c r="C83" s="16">
        <v>2391090</v>
      </c>
      <c r="D83" s="35">
        <f t="shared" si="1"/>
        <v>326.00000000000034</v>
      </c>
    </row>
    <row r="84" spans="2:4" x14ac:dyDescent="0.3">
      <c r="B84" s="16">
        <v>3.0000000000000001E-6</v>
      </c>
      <c r="C84" s="16">
        <v>2407360</v>
      </c>
      <c r="D84" s="35">
        <f t="shared" si="1"/>
        <v>325.40000000000038</v>
      </c>
    </row>
    <row r="85" spans="2:4" x14ac:dyDescent="0.3">
      <c r="B85" s="16">
        <v>3.05E-6</v>
      </c>
      <c r="C85" s="16">
        <v>2423630</v>
      </c>
      <c r="D85" s="35">
        <f t="shared" si="1"/>
        <v>325.40000000000038</v>
      </c>
    </row>
    <row r="86" spans="2:4" x14ac:dyDescent="0.3">
      <c r="B86" s="16">
        <v>3.1E-6</v>
      </c>
      <c r="C86" s="16">
        <v>2439920</v>
      </c>
      <c r="D86" s="35">
        <f t="shared" si="1"/>
        <v>325.80000000000041</v>
      </c>
    </row>
    <row r="87" spans="2:4" x14ac:dyDescent="0.3">
      <c r="B87" s="16">
        <v>3.1499999999999999E-6</v>
      </c>
      <c r="C87" s="16">
        <v>2456180</v>
      </c>
      <c r="D87" s="35">
        <f t="shared" si="1"/>
        <v>325.20000000000039</v>
      </c>
    </row>
    <row r="88" spans="2:4" x14ac:dyDescent="0.3">
      <c r="B88" s="16">
        <v>3.1999999999999999E-6</v>
      </c>
      <c r="C88" s="16">
        <v>2472450</v>
      </c>
      <c r="D88" s="35">
        <f t="shared" si="1"/>
        <v>325.40000000000038</v>
      </c>
    </row>
    <row r="89" spans="2:4" x14ac:dyDescent="0.3">
      <c r="B89" s="16">
        <v>3.2499999999999998E-6</v>
      </c>
      <c r="C89" s="16">
        <v>2488710</v>
      </c>
      <c r="D89" s="35">
        <f t="shared" si="1"/>
        <v>325.20000000000039</v>
      </c>
    </row>
    <row r="90" spans="2:4" x14ac:dyDescent="0.3">
      <c r="B90" s="16">
        <v>3.3000000000000002E-6</v>
      </c>
      <c r="C90" s="16">
        <v>2504980</v>
      </c>
      <c r="D90" s="35">
        <f t="shared" ref="D90:D153" si="4">10^-9*(C90-C89)/(B90-B89)</f>
        <v>325.39999999999765</v>
      </c>
    </row>
    <row r="91" spans="2:4" x14ac:dyDescent="0.3">
      <c r="B91" s="16">
        <v>3.3500000000000001E-6</v>
      </c>
      <c r="C91" s="16">
        <v>2521240</v>
      </c>
      <c r="D91" s="35">
        <f t="shared" si="4"/>
        <v>325.20000000000039</v>
      </c>
    </row>
    <row r="92" spans="2:4" x14ac:dyDescent="0.3">
      <c r="B92" s="16">
        <v>3.4000000000000001E-6</v>
      </c>
      <c r="C92" s="16">
        <v>2537500</v>
      </c>
      <c r="D92" s="35">
        <f t="shared" si="4"/>
        <v>325.20000000000039</v>
      </c>
    </row>
    <row r="93" spans="2:4" x14ac:dyDescent="0.3">
      <c r="B93" s="16">
        <v>3.45E-6</v>
      </c>
      <c r="C93" s="16">
        <v>2553760</v>
      </c>
      <c r="D93" s="35">
        <f t="shared" si="4"/>
        <v>325.20000000000039</v>
      </c>
    </row>
    <row r="94" spans="2:4" x14ac:dyDescent="0.3">
      <c r="B94" s="16">
        <v>3.4999999999999999E-6</v>
      </c>
      <c r="C94" s="16">
        <v>2570010</v>
      </c>
      <c r="D94" s="35">
        <f t="shared" si="4"/>
        <v>325.0000000000004</v>
      </c>
    </row>
    <row r="95" spans="2:4" x14ac:dyDescent="0.3">
      <c r="B95" s="16">
        <v>3.5499999999999999E-6</v>
      </c>
      <c r="C95" s="16">
        <v>2586260</v>
      </c>
      <c r="D95" s="35">
        <f t="shared" si="4"/>
        <v>325.0000000000004</v>
      </c>
    </row>
    <row r="96" spans="2:4" x14ac:dyDescent="0.3">
      <c r="B96" s="16">
        <v>3.5999999999999998E-6</v>
      </c>
      <c r="C96" s="16">
        <v>2602510</v>
      </c>
      <c r="D96" s="35">
        <f t="shared" si="4"/>
        <v>325.0000000000004</v>
      </c>
    </row>
    <row r="97" spans="2:4" x14ac:dyDescent="0.3">
      <c r="B97" s="16">
        <v>3.6500000000000002E-6</v>
      </c>
      <c r="C97" s="16">
        <v>2618760</v>
      </c>
      <c r="D97" s="35">
        <f t="shared" si="4"/>
        <v>324.99999999999767</v>
      </c>
    </row>
    <row r="98" spans="2:4" x14ac:dyDescent="0.3">
      <c r="B98" s="16">
        <v>3.7000000000000002E-6</v>
      </c>
      <c r="C98" s="16">
        <v>2635010</v>
      </c>
      <c r="D98" s="35">
        <f t="shared" si="4"/>
        <v>325.0000000000004</v>
      </c>
    </row>
    <row r="99" spans="2:4" x14ac:dyDescent="0.3">
      <c r="B99" s="16">
        <v>3.7500000000000001E-6</v>
      </c>
      <c r="C99" s="16">
        <v>2651250</v>
      </c>
      <c r="D99" s="35">
        <f t="shared" si="4"/>
        <v>324.80000000000035</v>
      </c>
    </row>
    <row r="100" spans="2:4" x14ac:dyDescent="0.3">
      <c r="B100" s="16">
        <v>3.8E-6</v>
      </c>
      <c r="C100" s="16">
        <v>2667530</v>
      </c>
      <c r="D100" s="35">
        <f t="shared" si="4"/>
        <v>325.60000000000036</v>
      </c>
    </row>
    <row r="101" spans="2:4" x14ac:dyDescent="0.3">
      <c r="B101" s="16">
        <v>3.8500000000000004E-6</v>
      </c>
      <c r="C101" s="16">
        <v>2683730</v>
      </c>
      <c r="D101" s="35">
        <f t="shared" si="4"/>
        <v>323.99999999999761</v>
      </c>
    </row>
    <row r="102" spans="2:4" x14ac:dyDescent="0.3">
      <c r="B102" s="16">
        <v>3.8999999999999999E-6</v>
      </c>
      <c r="C102" s="16">
        <v>2699980</v>
      </c>
      <c r="D102" s="35">
        <f t="shared" si="4"/>
        <v>325.00000000000313</v>
      </c>
    </row>
    <row r="103" spans="2:4" x14ac:dyDescent="0.3">
      <c r="B103" s="16">
        <v>3.9500000000000003E-6</v>
      </c>
      <c r="C103" s="16">
        <v>2716220</v>
      </c>
      <c r="D103" s="35">
        <f t="shared" si="4"/>
        <v>324.79999999999762</v>
      </c>
    </row>
    <row r="104" spans="2:4" x14ac:dyDescent="0.3">
      <c r="B104" s="16">
        <v>3.9999999999999998E-6</v>
      </c>
      <c r="C104" s="16">
        <v>2732460</v>
      </c>
      <c r="D104" s="35">
        <f t="shared" si="4"/>
        <v>324.80000000000314</v>
      </c>
    </row>
    <row r="105" spans="2:4" x14ac:dyDescent="0.3">
      <c r="B105" s="16">
        <v>4.0500000000000002E-6</v>
      </c>
      <c r="C105" s="16">
        <v>2748690</v>
      </c>
      <c r="D105" s="35">
        <f t="shared" si="4"/>
        <v>324.59999999999764</v>
      </c>
    </row>
    <row r="106" spans="2:4" x14ac:dyDescent="0.3">
      <c r="B106" s="16">
        <v>4.0999999999999997E-6</v>
      </c>
      <c r="C106" s="16">
        <v>2764920</v>
      </c>
      <c r="D106" s="35">
        <f t="shared" si="4"/>
        <v>324.60000000000315</v>
      </c>
    </row>
    <row r="107" spans="2:4" x14ac:dyDescent="0.3">
      <c r="B107" s="16">
        <v>4.1500000000000001E-6</v>
      </c>
      <c r="C107" s="16">
        <v>2780180</v>
      </c>
      <c r="D107" s="35">
        <f t="shared" si="4"/>
        <v>305.19999999999777</v>
      </c>
    </row>
    <row r="108" spans="2:4" x14ac:dyDescent="0.3">
      <c r="B108" s="16">
        <v>4.1999999999999996E-6</v>
      </c>
      <c r="C108" s="16">
        <v>2795380</v>
      </c>
      <c r="D108" s="35">
        <f t="shared" si="4"/>
        <v>304.0000000000029</v>
      </c>
    </row>
    <row r="109" spans="2:4" x14ac:dyDescent="0.3">
      <c r="B109" s="16">
        <v>4.25E-6</v>
      </c>
      <c r="C109" s="16">
        <v>2810590</v>
      </c>
      <c r="D109" s="35">
        <f t="shared" si="4"/>
        <v>304.19999999999777</v>
      </c>
    </row>
    <row r="110" spans="2:4" x14ac:dyDescent="0.3">
      <c r="B110" s="16">
        <v>4.3000000000000003E-6</v>
      </c>
      <c r="C110" s="16">
        <v>2825790</v>
      </c>
      <c r="D110" s="35">
        <f t="shared" si="4"/>
        <v>303.99999999999778</v>
      </c>
    </row>
    <row r="111" spans="2:4" x14ac:dyDescent="0.3">
      <c r="B111" s="16">
        <v>4.3499999999999999E-6</v>
      </c>
      <c r="C111" s="16">
        <v>2840990</v>
      </c>
      <c r="D111" s="35">
        <f t="shared" si="4"/>
        <v>304.0000000000029</v>
      </c>
    </row>
    <row r="112" spans="2:4" x14ac:dyDescent="0.3">
      <c r="B112" s="16">
        <v>4.4000000000000002E-6</v>
      </c>
      <c r="C112" s="16">
        <v>2856200</v>
      </c>
      <c r="D112" s="35">
        <f t="shared" si="4"/>
        <v>304.19999999999777</v>
      </c>
    </row>
    <row r="113" spans="2:4" x14ac:dyDescent="0.3">
      <c r="B113" s="16">
        <v>4.4499999999999997E-6</v>
      </c>
      <c r="C113" s="16">
        <v>2871400</v>
      </c>
      <c r="D113" s="35">
        <f t="shared" si="4"/>
        <v>304.0000000000029</v>
      </c>
    </row>
    <row r="114" spans="2:4" x14ac:dyDescent="0.3">
      <c r="B114" s="16">
        <v>4.5000000000000001E-6</v>
      </c>
      <c r="C114" s="16">
        <v>2886610</v>
      </c>
      <c r="D114" s="35">
        <f t="shared" si="4"/>
        <v>304.19999999999777</v>
      </c>
    </row>
    <row r="115" spans="2:4" x14ac:dyDescent="0.3">
      <c r="B115" s="16">
        <v>4.5499999999999996E-6</v>
      </c>
      <c r="C115" s="16">
        <v>2901810</v>
      </c>
      <c r="D115" s="35">
        <f t="shared" si="4"/>
        <v>304.0000000000029</v>
      </c>
    </row>
    <row r="116" spans="2:4" x14ac:dyDescent="0.3">
      <c r="B116" s="16">
        <v>4.6E-6</v>
      </c>
      <c r="C116" s="16">
        <v>2917010</v>
      </c>
      <c r="D116" s="35">
        <f t="shared" si="4"/>
        <v>303.99999999999778</v>
      </c>
    </row>
    <row r="117" spans="2:4" x14ac:dyDescent="0.3">
      <c r="B117" s="16">
        <v>4.6500000000000004E-6</v>
      </c>
      <c r="C117" s="16">
        <v>2932220</v>
      </c>
      <c r="D117" s="35">
        <f t="shared" si="4"/>
        <v>304.19999999999777</v>
      </c>
    </row>
    <row r="118" spans="2:4" x14ac:dyDescent="0.3">
      <c r="B118" s="16">
        <v>4.6999999999999999E-6</v>
      </c>
      <c r="C118" s="16">
        <v>2947410</v>
      </c>
      <c r="D118" s="35">
        <f t="shared" si="4"/>
        <v>303.80000000000291</v>
      </c>
    </row>
    <row r="119" spans="2:4" x14ac:dyDescent="0.3">
      <c r="B119" s="16">
        <v>4.7500000000000003E-6</v>
      </c>
      <c r="C119" s="16">
        <v>2962620</v>
      </c>
      <c r="D119" s="35">
        <f t="shared" si="4"/>
        <v>304.19999999999777</v>
      </c>
    </row>
    <row r="120" spans="2:4" x14ac:dyDescent="0.3">
      <c r="B120" s="16">
        <v>4.7999999999999998E-6</v>
      </c>
      <c r="C120" s="16">
        <v>2977830</v>
      </c>
      <c r="D120" s="35">
        <f t="shared" si="4"/>
        <v>304.20000000000294</v>
      </c>
    </row>
    <row r="121" spans="2:4" x14ac:dyDescent="0.3">
      <c r="B121" s="16">
        <v>4.8500000000000002E-6</v>
      </c>
      <c r="C121" s="16">
        <v>2993020</v>
      </c>
      <c r="D121" s="35">
        <f t="shared" si="4"/>
        <v>303.79999999999779</v>
      </c>
    </row>
    <row r="122" spans="2:4" x14ac:dyDescent="0.3">
      <c r="B122" s="16">
        <v>4.8999999999999997E-6</v>
      </c>
      <c r="C122" s="16">
        <v>3008230</v>
      </c>
      <c r="D122" s="35">
        <f t="shared" si="4"/>
        <v>304.20000000000294</v>
      </c>
    </row>
    <row r="123" spans="2:4" x14ac:dyDescent="0.3">
      <c r="B123" s="16">
        <v>4.95E-6</v>
      </c>
      <c r="C123" s="16">
        <v>3023430</v>
      </c>
      <c r="D123" s="35">
        <f t="shared" si="4"/>
        <v>303.99999999999778</v>
      </c>
    </row>
    <row r="124" spans="2:4" x14ac:dyDescent="0.3">
      <c r="B124" s="16">
        <v>5.0000000000000004E-6</v>
      </c>
      <c r="C124" s="16">
        <v>3038630</v>
      </c>
      <c r="D124" s="35">
        <f t="shared" si="4"/>
        <v>303.99999999999778</v>
      </c>
    </row>
    <row r="125" spans="2:4" x14ac:dyDescent="0.3">
      <c r="B125" s="16">
        <v>5.0499999999999999E-6</v>
      </c>
      <c r="C125" s="16">
        <v>3053830</v>
      </c>
      <c r="D125" s="35">
        <f t="shared" si="4"/>
        <v>304.0000000000029</v>
      </c>
    </row>
    <row r="126" spans="2:4" x14ac:dyDescent="0.3">
      <c r="B126" s="16">
        <v>5.1000000000000003E-6</v>
      </c>
      <c r="C126" s="16">
        <v>3069030</v>
      </c>
      <c r="D126" s="35">
        <f t="shared" si="4"/>
        <v>303.99999999999778</v>
      </c>
    </row>
    <row r="127" spans="2:4" x14ac:dyDescent="0.3">
      <c r="B127" s="16">
        <v>5.1499999999999998E-6</v>
      </c>
      <c r="C127" s="16">
        <v>3084230</v>
      </c>
      <c r="D127" s="35">
        <f t="shared" si="4"/>
        <v>304.0000000000029</v>
      </c>
    </row>
    <row r="128" spans="2:4" x14ac:dyDescent="0.3">
      <c r="B128" s="16">
        <v>5.2000000000000002E-6</v>
      </c>
      <c r="C128" s="16">
        <v>3099430</v>
      </c>
      <c r="D128" s="35">
        <f t="shared" si="4"/>
        <v>303.99999999999778</v>
      </c>
    </row>
    <row r="129" spans="2:4" x14ac:dyDescent="0.3">
      <c r="B129" s="16">
        <v>5.2499999999999997E-6</v>
      </c>
      <c r="C129" s="16">
        <v>3114640</v>
      </c>
      <c r="D129" s="35">
        <f t="shared" si="4"/>
        <v>304.20000000000294</v>
      </c>
    </row>
    <row r="130" spans="2:4" x14ac:dyDescent="0.3">
      <c r="B130" s="16">
        <v>5.3000000000000001E-6</v>
      </c>
      <c r="C130" s="16">
        <v>3129830</v>
      </c>
      <c r="D130" s="35">
        <f t="shared" si="4"/>
        <v>303.79999999999779</v>
      </c>
    </row>
    <row r="131" spans="2:4" x14ac:dyDescent="0.3">
      <c r="B131" s="16">
        <v>5.3499999999999996E-6</v>
      </c>
      <c r="C131" s="16">
        <v>3145030</v>
      </c>
      <c r="D131" s="35">
        <f t="shared" si="4"/>
        <v>304.0000000000029</v>
      </c>
    </row>
    <row r="132" spans="2:4" x14ac:dyDescent="0.3">
      <c r="B132" s="16">
        <v>5.4E-6</v>
      </c>
      <c r="C132" s="16">
        <v>3160220</v>
      </c>
      <c r="D132" s="35">
        <f t="shared" si="4"/>
        <v>303.79999999999779</v>
      </c>
    </row>
    <row r="133" spans="2:4" x14ac:dyDescent="0.3">
      <c r="B133" s="16">
        <v>5.4500000000000003E-6</v>
      </c>
      <c r="C133" s="16">
        <v>3175420</v>
      </c>
      <c r="D133" s="35">
        <f t="shared" si="4"/>
        <v>303.99999999999778</v>
      </c>
    </row>
    <row r="134" spans="2:4" x14ac:dyDescent="0.3">
      <c r="B134" s="16">
        <v>5.4999999999999999E-6</v>
      </c>
      <c r="C134" s="16">
        <v>3190630</v>
      </c>
      <c r="D134" s="35">
        <f t="shared" si="4"/>
        <v>304.20000000000294</v>
      </c>
    </row>
    <row r="135" spans="2:4" x14ac:dyDescent="0.3">
      <c r="B135" s="16">
        <v>5.5500000000000002E-6</v>
      </c>
      <c r="C135" s="16">
        <v>3205820</v>
      </c>
      <c r="D135" s="35">
        <f t="shared" si="4"/>
        <v>303.79999999999779</v>
      </c>
    </row>
    <row r="136" spans="2:4" x14ac:dyDescent="0.3">
      <c r="B136" s="16">
        <v>5.5999999999999997E-6</v>
      </c>
      <c r="C136" s="16">
        <v>3221020</v>
      </c>
      <c r="D136" s="35">
        <f t="shared" si="4"/>
        <v>304.0000000000029</v>
      </c>
    </row>
    <row r="137" spans="2:4" x14ac:dyDescent="0.3">
      <c r="B137" s="16">
        <v>5.6500000000000001E-6</v>
      </c>
      <c r="C137" s="16">
        <v>3236210</v>
      </c>
      <c r="D137" s="35">
        <f t="shared" si="4"/>
        <v>303.79999999999779</v>
      </c>
    </row>
    <row r="138" spans="2:4" x14ac:dyDescent="0.3">
      <c r="B138" s="16">
        <v>5.6999999999999996E-6</v>
      </c>
      <c r="C138" s="16">
        <v>3251410</v>
      </c>
      <c r="D138" s="35">
        <f t="shared" si="4"/>
        <v>304.0000000000029</v>
      </c>
    </row>
    <row r="139" spans="2:4" x14ac:dyDescent="0.3">
      <c r="B139" s="16">
        <v>5.75E-6</v>
      </c>
      <c r="C139" s="16">
        <v>3266610</v>
      </c>
      <c r="D139" s="35">
        <f t="shared" si="4"/>
        <v>303.99999999999778</v>
      </c>
    </row>
    <row r="140" spans="2:4" x14ac:dyDescent="0.3">
      <c r="B140" s="16">
        <v>5.8000000000000004E-6</v>
      </c>
      <c r="C140" s="16">
        <v>3281800</v>
      </c>
      <c r="D140" s="35">
        <f t="shared" si="4"/>
        <v>303.79999999999779</v>
      </c>
    </row>
    <row r="141" spans="2:4" x14ac:dyDescent="0.3">
      <c r="B141" s="16">
        <v>5.8499999999999999E-6</v>
      </c>
      <c r="C141" s="16">
        <v>3297000</v>
      </c>
      <c r="D141" s="35">
        <f t="shared" si="4"/>
        <v>304.0000000000029</v>
      </c>
    </row>
    <row r="142" spans="2:4" x14ac:dyDescent="0.3">
      <c r="B142" s="16">
        <v>5.9000000000000003E-6</v>
      </c>
      <c r="C142" s="16">
        <v>3312190</v>
      </c>
      <c r="D142" s="35">
        <f t="shared" si="4"/>
        <v>303.79999999999779</v>
      </c>
    </row>
    <row r="143" spans="2:4" x14ac:dyDescent="0.3">
      <c r="B143" s="16">
        <v>5.9499999999999998E-6</v>
      </c>
      <c r="C143" s="16">
        <v>3327390</v>
      </c>
      <c r="D143" s="35">
        <f t="shared" si="4"/>
        <v>304.0000000000029</v>
      </c>
    </row>
    <row r="144" spans="2:4" x14ac:dyDescent="0.3">
      <c r="B144" s="16">
        <v>6.0000000000000002E-6</v>
      </c>
      <c r="C144" s="16">
        <v>3342580</v>
      </c>
      <c r="D144" s="35">
        <f t="shared" si="4"/>
        <v>303.79999999999779</v>
      </c>
    </row>
    <row r="145" spans="2:4" x14ac:dyDescent="0.3">
      <c r="B145" s="16">
        <v>6.0499999999999997E-6</v>
      </c>
      <c r="C145" s="16">
        <v>3357780</v>
      </c>
      <c r="D145" s="35">
        <f t="shared" si="4"/>
        <v>304.0000000000029</v>
      </c>
    </row>
    <row r="146" spans="2:4" x14ac:dyDescent="0.3">
      <c r="B146" s="16">
        <v>6.1E-6</v>
      </c>
      <c r="C146" s="16">
        <v>3372980</v>
      </c>
      <c r="D146" s="35">
        <f t="shared" si="4"/>
        <v>303.99999999999778</v>
      </c>
    </row>
    <row r="147" spans="2:4" x14ac:dyDescent="0.3">
      <c r="B147" s="16">
        <v>6.1500000000000004E-6</v>
      </c>
      <c r="C147" s="16">
        <v>3388170</v>
      </c>
      <c r="D147" s="35">
        <f t="shared" si="4"/>
        <v>303.79999999999779</v>
      </c>
    </row>
    <row r="148" spans="2:4" x14ac:dyDescent="0.3">
      <c r="B148" s="16">
        <v>6.1999999999999999E-6</v>
      </c>
      <c r="C148" s="16">
        <v>3403370</v>
      </c>
      <c r="D148" s="35">
        <f t="shared" si="4"/>
        <v>304.0000000000029</v>
      </c>
    </row>
    <row r="149" spans="2:4" x14ac:dyDescent="0.3">
      <c r="B149" s="16">
        <v>6.2500000000000003E-6</v>
      </c>
      <c r="C149" s="16">
        <v>3418560</v>
      </c>
      <c r="D149" s="35">
        <f t="shared" si="4"/>
        <v>303.79999999999779</v>
      </c>
    </row>
    <row r="150" spans="2:4" x14ac:dyDescent="0.3">
      <c r="B150" s="16">
        <v>6.2999999999999998E-6</v>
      </c>
      <c r="C150" s="16">
        <v>3433760</v>
      </c>
      <c r="D150" s="35">
        <f t="shared" si="4"/>
        <v>304.0000000000029</v>
      </c>
    </row>
    <row r="151" spans="2:4" x14ac:dyDescent="0.3">
      <c r="B151" s="16">
        <v>6.3500000000000002E-6</v>
      </c>
      <c r="C151" s="16">
        <v>3448950</v>
      </c>
      <c r="D151" s="35">
        <f t="shared" si="4"/>
        <v>303.79999999999779</v>
      </c>
    </row>
    <row r="152" spans="2:4" x14ac:dyDescent="0.3">
      <c r="B152" s="16">
        <v>6.3999999999999997E-6</v>
      </c>
      <c r="C152" s="16">
        <v>3464140</v>
      </c>
      <c r="D152" s="35">
        <f t="shared" si="4"/>
        <v>303.80000000000291</v>
      </c>
    </row>
    <row r="153" spans="2:4" x14ac:dyDescent="0.3">
      <c r="B153" s="16">
        <v>6.4500000000000001E-6</v>
      </c>
      <c r="C153" s="16">
        <v>3479330</v>
      </c>
      <c r="D153" s="35">
        <f t="shared" si="4"/>
        <v>303.79999999999779</v>
      </c>
    </row>
    <row r="154" spans="2:4" x14ac:dyDescent="0.3">
      <c r="B154" s="16">
        <v>6.4999999999999996E-6</v>
      </c>
      <c r="C154" s="16">
        <v>3494530</v>
      </c>
      <c r="D154" s="35">
        <f t="shared" ref="D154:D217" si="5">10^-9*(C154-C153)/(B154-B153)</f>
        <v>304.0000000000029</v>
      </c>
    </row>
    <row r="155" spans="2:4" x14ac:dyDescent="0.3">
      <c r="B155" s="16">
        <v>6.55E-6</v>
      </c>
      <c r="C155" s="16">
        <v>3509720</v>
      </c>
      <c r="D155" s="35">
        <f t="shared" si="5"/>
        <v>303.79999999999779</v>
      </c>
    </row>
    <row r="156" spans="2:4" x14ac:dyDescent="0.3">
      <c r="B156" s="16">
        <v>6.6000000000000003E-6</v>
      </c>
      <c r="C156" s="16">
        <v>3524920</v>
      </c>
      <c r="D156" s="35">
        <f t="shared" si="5"/>
        <v>303.99999999999778</v>
      </c>
    </row>
    <row r="157" spans="2:4" x14ac:dyDescent="0.3">
      <c r="B157" s="16">
        <v>6.6499999999999999E-6</v>
      </c>
      <c r="C157" s="16">
        <v>3540120</v>
      </c>
      <c r="D157" s="35">
        <f t="shared" si="5"/>
        <v>304.0000000000029</v>
      </c>
    </row>
    <row r="158" spans="2:4" x14ac:dyDescent="0.3">
      <c r="B158" s="16">
        <v>6.7000000000000002E-6</v>
      </c>
      <c r="C158" s="16">
        <v>3555300</v>
      </c>
      <c r="D158" s="35">
        <f t="shared" si="5"/>
        <v>303.59999999999775</v>
      </c>
    </row>
    <row r="159" spans="2:4" x14ac:dyDescent="0.3">
      <c r="B159" s="16">
        <v>6.7499999999999997E-6</v>
      </c>
      <c r="C159" s="16">
        <v>3570500</v>
      </c>
      <c r="D159" s="35">
        <f t="shared" si="5"/>
        <v>304.0000000000029</v>
      </c>
    </row>
    <row r="160" spans="2:4" x14ac:dyDescent="0.3">
      <c r="B160" s="16">
        <v>6.8000000000000001E-6</v>
      </c>
      <c r="C160" s="16">
        <v>3585690</v>
      </c>
      <c r="D160" s="35">
        <f t="shared" si="5"/>
        <v>303.79999999999779</v>
      </c>
    </row>
    <row r="161" spans="2:4" x14ac:dyDescent="0.3">
      <c r="B161" s="16">
        <v>6.8499999999999996E-6</v>
      </c>
      <c r="C161" s="16">
        <v>3600890</v>
      </c>
      <c r="D161" s="35">
        <f t="shared" si="5"/>
        <v>304.0000000000029</v>
      </c>
    </row>
    <row r="162" spans="2:4" x14ac:dyDescent="0.3">
      <c r="B162" s="16">
        <v>6.9E-6</v>
      </c>
      <c r="C162" s="16">
        <v>3616080</v>
      </c>
      <c r="D162" s="35">
        <f t="shared" si="5"/>
        <v>303.79999999999779</v>
      </c>
    </row>
    <row r="163" spans="2:4" x14ac:dyDescent="0.3">
      <c r="B163" s="16">
        <v>6.9500000000000004E-6</v>
      </c>
      <c r="C163" s="16">
        <v>3631270</v>
      </c>
      <c r="D163" s="35">
        <f t="shared" si="5"/>
        <v>303.79999999999779</v>
      </c>
    </row>
    <row r="164" spans="2:4" x14ac:dyDescent="0.3">
      <c r="B164" s="16">
        <v>6.9999999999999999E-6</v>
      </c>
      <c r="C164" s="16">
        <v>3646460</v>
      </c>
      <c r="D164" s="35">
        <f t="shared" si="5"/>
        <v>303.80000000000291</v>
      </c>
    </row>
    <row r="165" spans="2:4" x14ac:dyDescent="0.3">
      <c r="B165" s="16">
        <v>7.0500000000000003E-6</v>
      </c>
      <c r="C165" s="16">
        <v>3661660</v>
      </c>
      <c r="D165" s="35">
        <f t="shared" si="5"/>
        <v>303.99999999999778</v>
      </c>
    </row>
    <row r="166" spans="2:4" x14ac:dyDescent="0.3">
      <c r="B166" s="16">
        <v>7.0999999999999998E-6</v>
      </c>
      <c r="C166" s="16">
        <v>3676840</v>
      </c>
      <c r="D166" s="35">
        <f t="shared" si="5"/>
        <v>303.60000000000292</v>
      </c>
    </row>
    <row r="167" spans="2:4" x14ac:dyDescent="0.3">
      <c r="B167" s="16">
        <v>7.1500000000000002E-6</v>
      </c>
      <c r="C167" s="16">
        <v>3692040</v>
      </c>
      <c r="D167" s="35">
        <f t="shared" si="5"/>
        <v>303.99999999999778</v>
      </c>
    </row>
    <row r="168" spans="2:4" x14ac:dyDescent="0.3">
      <c r="B168" s="16">
        <v>7.1999999999999997E-6</v>
      </c>
      <c r="C168" s="16">
        <v>3707230</v>
      </c>
      <c r="D168" s="35">
        <f t="shared" si="5"/>
        <v>303.80000000000291</v>
      </c>
    </row>
    <row r="169" spans="2:4" x14ac:dyDescent="0.3">
      <c r="B169" s="16">
        <v>7.25E-6</v>
      </c>
      <c r="C169" s="16">
        <v>3722420</v>
      </c>
      <c r="D169" s="35">
        <f t="shared" si="5"/>
        <v>303.79999999999779</v>
      </c>
    </row>
    <row r="170" spans="2:4" x14ac:dyDescent="0.3">
      <c r="B170" s="16">
        <v>7.3000000000000004E-6</v>
      </c>
      <c r="C170" s="16">
        <v>3737610</v>
      </c>
      <c r="D170" s="35">
        <f t="shared" si="5"/>
        <v>303.79999999999779</v>
      </c>
    </row>
    <row r="171" spans="2:4" x14ac:dyDescent="0.3">
      <c r="B171" s="16">
        <v>7.3499999999999999E-6</v>
      </c>
      <c r="C171" s="16">
        <v>3752800</v>
      </c>
      <c r="D171" s="35">
        <f t="shared" si="5"/>
        <v>303.80000000000291</v>
      </c>
    </row>
    <row r="172" spans="2:4" x14ac:dyDescent="0.3">
      <c r="B172" s="16">
        <v>7.4000000000000003E-6</v>
      </c>
      <c r="C172" s="16">
        <v>3767980</v>
      </c>
      <c r="D172" s="35">
        <f t="shared" si="5"/>
        <v>303.59999999999775</v>
      </c>
    </row>
    <row r="173" spans="2:4" x14ac:dyDescent="0.3">
      <c r="B173" s="16">
        <v>7.4499999999999998E-6</v>
      </c>
      <c r="C173" s="16">
        <v>3783180</v>
      </c>
      <c r="D173" s="35">
        <f t="shared" si="5"/>
        <v>304.0000000000029</v>
      </c>
    </row>
    <row r="174" spans="2:4" x14ac:dyDescent="0.3">
      <c r="B174" s="16">
        <v>7.5000000000000002E-6</v>
      </c>
      <c r="C174" s="16">
        <v>3798360</v>
      </c>
      <c r="D174" s="35">
        <f t="shared" si="5"/>
        <v>303.59999999999775</v>
      </c>
    </row>
    <row r="175" spans="2:4" x14ac:dyDescent="0.3">
      <c r="B175" s="16">
        <v>7.5499999999999997E-6</v>
      </c>
      <c r="C175" s="16">
        <v>3813540</v>
      </c>
      <c r="D175" s="35">
        <f t="shared" si="5"/>
        <v>303.60000000000292</v>
      </c>
    </row>
    <row r="176" spans="2:4" x14ac:dyDescent="0.3">
      <c r="B176" s="16">
        <v>7.6000000000000001E-6</v>
      </c>
      <c r="C176" s="16">
        <v>3828730</v>
      </c>
      <c r="D176" s="35">
        <f t="shared" si="5"/>
        <v>303.79999999999779</v>
      </c>
    </row>
    <row r="177" spans="2:4" x14ac:dyDescent="0.3">
      <c r="B177" s="16">
        <v>7.6499999999999996E-6</v>
      </c>
      <c r="C177" s="16">
        <v>3843920</v>
      </c>
      <c r="D177" s="35">
        <f t="shared" si="5"/>
        <v>303.80000000000291</v>
      </c>
    </row>
    <row r="178" spans="2:4" x14ac:dyDescent="0.3">
      <c r="B178" s="16">
        <v>7.7000000000000008E-6</v>
      </c>
      <c r="C178" s="16">
        <v>3859110</v>
      </c>
      <c r="D178" s="35">
        <f t="shared" si="5"/>
        <v>303.79999999999262</v>
      </c>
    </row>
    <row r="179" spans="2:4" x14ac:dyDescent="0.3">
      <c r="B179" s="16">
        <v>7.7500000000000003E-6</v>
      </c>
      <c r="C179" s="16">
        <v>3874290</v>
      </c>
      <c r="D179" s="35">
        <f t="shared" si="5"/>
        <v>303.60000000000292</v>
      </c>
    </row>
    <row r="180" spans="2:4" x14ac:dyDescent="0.3">
      <c r="B180" s="16">
        <v>7.7999999999999999E-6</v>
      </c>
      <c r="C180" s="16">
        <v>3889470</v>
      </c>
      <c r="D180" s="35">
        <f t="shared" si="5"/>
        <v>303.60000000000292</v>
      </c>
    </row>
    <row r="181" spans="2:4" x14ac:dyDescent="0.3">
      <c r="B181" s="16">
        <v>7.8499999999999994E-6</v>
      </c>
      <c r="C181" s="16">
        <v>3904660</v>
      </c>
      <c r="D181" s="35">
        <f t="shared" si="5"/>
        <v>303.80000000000291</v>
      </c>
    </row>
    <row r="182" spans="2:4" x14ac:dyDescent="0.3">
      <c r="B182" s="16">
        <v>7.9000000000000006E-6</v>
      </c>
      <c r="C182" s="16">
        <v>3919840</v>
      </c>
      <c r="D182" s="35">
        <f t="shared" si="5"/>
        <v>303.59999999999263</v>
      </c>
    </row>
    <row r="183" spans="2:4" x14ac:dyDescent="0.3">
      <c r="B183" s="16">
        <v>7.9500000000000001E-6</v>
      </c>
      <c r="C183" s="16">
        <v>3935020</v>
      </c>
      <c r="D183" s="35">
        <f t="shared" si="5"/>
        <v>303.60000000000292</v>
      </c>
    </row>
    <row r="184" spans="2:4" x14ac:dyDescent="0.3">
      <c r="B184" s="16">
        <v>7.9999999999999996E-6</v>
      </c>
      <c r="C184" s="16">
        <v>3950210</v>
      </c>
      <c r="D184" s="35">
        <f t="shared" si="5"/>
        <v>303.80000000000291</v>
      </c>
    </row>
    <row r="185" spans="2:4" x14ac:dyDescent="0.3">
      <c r="B185" s="16">
        <v>6.1875E-5</v>
      </c>
      <c r="C185" s="16">
        <v>17175900</v>
      </c>
      <c r="D185" s="35">
        <f t="shared" si="5"/>
        <v>245.48844547563803</v>
      </c>
    </row>
    <row r="186" spans="2:4" x14ac:dyDescent="0.3">
      <c r="B186" s="16">
        <v>6.2249999999999995E-5</v>
      </c>
      <c r="C186" s="16">
        <v>17263200</v>
      </c>
      <c r="D186" s="35">
        <f t="shared" si="5"/>
        <v>232.80000000000277</v>
      </c>
    </row>
    <row r="187" spans="2:4" x14ac:dyDescent="0.3">
      <c r="B187" s="16">
        <v>6.2625000000000004E-5</v>
      </c>
      <c r="C187" s="16">
        <v>17350500</v>
      </c>
      <c r="D187" s="35">
        <f t="shared" si="5"/>
        <v>232.79999999999436</v>
      </c>
    </row>
    <row r="188" spans="2:4" x14ac:dyDescent="0.3">
      <c r="B188" s="16">
        <v>6.3E-5</v>
      </c>
      <c r="C188" s="16">
        <v>17437700</v>
      </c>
      <c r="D188" s="35">
        <f t="shared" si="5"/>
        <v>232.53333333333609</v>
      </c>
    </row>
    <row r="189" spans="2:4" x14ac:dyDescent="0.3">
      <c r="B189" s="16">
        <v>6.3374999999999995E-5</v>
      </c>
      <c r="C189" s="16">
        <v>17525000</v>
      </c>
      <c r="D189" s="35">
        <f t="shared" si="5"/>
        <v>232.80000000000277</v>
      </c>
    </row>
    <row r="190" spans="2:4" x14ac:dyDescent="0.3">
      <c r="B190" s="16">
        <v>6.3750000000000005E-5</v>
      </c>
      <c r="C190" s="16">
        <v>17612300</v>
      </c>
      <c r="D190" s="35">
        <f t="shared" si="5"/>
        <v>232.79999999999436</v>
      </c>
    </row>
    <row r="191" spans="2:4" x14ac:dyDescent="0.3">
      <c r="B191" s="16">
        <v>6.4125E-5</v>
      </c>
      <c r="C191" s="16">
        <v>17699600</v>
      </c>
      <c r="D191" s="35">
        <f t="shared" si="5"/>
        <v>232.80000000000277</v>
      </c>
    </row>
    <row r="192" spans="2:4" x14ac:dyDescent="0.3">
      <c r="B192" s="16">
        <v>6.4499999999999996E-5</v>
      </c>
      <c r="C192" s="16">
        <v>17786900</v>
      </c>
      <c r="D192" s="35">
        <f t="shared" si="5"/>
        <v>232.80000000000277</v>
      </c>
    </row>
    <row r="193" spans="2:4" x14ac:dyDescent="0.3">
      <c r="B193" s="16">
        <v>6.4875000000000005E-5</v>
      </c>
      <c r="C193" s="16">
        <v>17874100</v>
      </c>
      <c r="D193" s="35">
        <f t="shared" si="5"/>
        <v>232.5333333333277</v>
      </c>
    </row>
    <row r="194" spans="2:4" x14ac:dyDescent="0.3">
      <c r="B194" s="16">
        <v>6.525E-5</v>
      </c>
      <c r="C194" s="16">
        <v>17961400</v>
      </c>
      <c r="D194" s="35">
        <f t="shared" si="5"/>
        <v>232.80000000000277</v>
      </c>
    </row>
    <row r="195" spans="2:4" x14ac:dyDescent="0.3">
      <c r="B195" s="16">
        <v>6.5624999999999996E-5</v>
      </c>
      <c r="C195" s="16">
        <v>18048700</v>
      </c>
      <c r="D195" s="35">
        <f t="shared" si="5"/>
        <v>232.80000000000277</v>
      </c>
    </row>
    <row r="196" spans="2:4" x14ac:dyDescent="0.3">
      <c r="B196" s="16">
        <v>6.6000000000000005E-5</v>
      </c>
      <c r="C196" s="16">
        <v>18135800</v>
      </c>
      <c r="D196" s="35">
        <f t="shared" si="5"/>
        <v>232.26666666666102</v>
      </c>
    </row>
    <row r="197" spans="2:4" x14ac:dyDescent="0.3">
      <c r="B197" s="16">
        <v>6.6375000000000001E-5</v>
      </c>
      <c r="C197" s="16">
        <v>18223200</v>
      </c>
      <c r="D197" s="35">
        <f t="shared" si="5"/>
        <v>233.06666666666945</v>
      </c>
    </row>
    <row r="198" spans="2:4" x14ac:dyDescent="0.3">
      <c r="B198" s="16">
        <v>6.6749999999999996E-5</v>
      </c>
      <c r="C198" s="16">
        <v>18310300</v>
      </c>
      <c r="D198" s="35">
        <f t="shared" si="5"/>
        <v>232.26666666666944</v>
      </c>
    </row>
    <row r="199" spans="2:4" x14ac:dyDescent="0.3">
      <c r="B199" s="16">
        <v>6.7125000000000005E-5</v>
      </c>
      <c r="C199" s="16">
        <v>18397600</v>
      </c>
      <c r="D199" s="35">
        <f t="shared" si="5"/>
        <v>232.79999999999436</v>
      </c>
    </row>
    <row r="200" spans="2:4" x14ac:dyDescent="0.3">
      <c r="B200" s="16">
        <v>6.7500000000000001E-5</v>
      </c>
      <c r="C200" s="16">
        <v>18484800</v>
      </c>
      <c r="D200" s="35">
        <f t="shared" si="5"/>
        <v>232.53333333333609</v>
      </c>
    </row>
    <row r="201" spans="2:4" x14ac:dyDescent="0.3">
      <c r="B201" s="16">
        <v>6.7874999999999996E-5</v>
      </c>
      <c r="C201" s="16">
        <v>18572100</v>
      </c>
      <c r="D201" s="35">
        <f t="shared" si="5"/>
        <v>232.80000000000277</v>
      </c>
    </row>
    <row r="202" spans="2:4" x14ac:dyDescent="0.3">
      <c r="B202" s="16">
        <v>6.8250000000000006E-5</v>
      </c>
      <c r="C202" s="16">
        <v>18659200</v>
      </c>
      <c r="D202" s="35">
        <f t="shared" si="5"/>
        <v>232.26666666666102</v>
      </c>
    </row>
    <row r="203" spans="2:4" x14ac:dyDescent="0.3">
      <c r="B203" s="16">
        <v>6.8625000000000001E-5</v>
      </c>
      <c r="C203" s="16">
        <v>18746400</v>
      </c>
      <c r="D203" s="35">
        <f t="shared" si="5"/>
        <v>232.53333333333609</v>
      </c>
    </row>
    <row r="204" spans="2:4" x14ac:dyDescent="0.3">
      <c r="B204" s="16">
        <v>6.8999999999999997E-5</v>
      </c>
      <c r="C204" s="16">
        <v>18833500</v>
      </c>
      <c r="D204" s="35">
        <f t="shared" si="5"/>
        <v>232.26666666666944</v>
      </c>
    </row>
    <row r="205" spans="2:4" x14ac:dyDescent="0.3">
      <c r="B205" s="16">
        <v>6.9375000000000006E-5</v>
      </c>
      <c r="C205" s="16">
        <v>18920800</v>
      </c>
      <c r="D205" s="35">
        <f t="shared" si="5"/>
        <v>232.79999999999436</v>
      </c>
    </row>
    <row r="206" spans="2:4" x14ac:dyDescent="0.3">
      <c r="B206" s="16">
        <v>6.9750000000000001E-5</v>
      </c>
      <c r="C206" s="16">
        <v>19008000</v>
      </c>
      <c r="D206" s="35">
        <f t="shared" si="5"/>
        <v>232.53333333333609</v>
      </c>
    </row>
    <row r="207" spans="2:4" x14ac:dyDescent="0.3">
      <c r="B207" s="16">
        <v>7.0124999999999997E-5</v>
      </c>
      <c r="C207" s="16">
        <v>19095100</v>
      </c>
      <c r="D207" s="35">
        <f t="shared" si="5"/>
        <v>232.26666666666944</v>
      </c>
    </row>
    <row r="208" spans="2:4" x14ac:dyDescent="0.3">
      <c r="B208" s="16">
        <v>7.0500000000000006E-5</v>
      </c>
      <c r="C208" s="16">
        <v>19182200</v>
      </c>
      <c r="D208" s="35">
        <f t="shared" si="5"/>
        <v>232.26666666666102</v>
      </c>
    </row>
    <row r="209" spans="2:4" x14ac:dyDescent="0.3">
      <c r="B209" s="16">
        <v>7.0875000000000002E-5</v>
      </c>
      <c r="C209" s="16">
        <v>19269600</v>
      </c>
      <c r="D209" s="35">
        <f t="shared" si="5"/>
        <v>233.06666666666945</v>
      </c>
    </row>
    <row r="210" spans="2:4" x14ac:dyDescent="0.3">
      <c r="B210" s="16">
        <v>7.1249999999999997E-5</v>
      </c>
      <c r="C210" s="16">
        <v>19356700</v>
      </c>
      <c r="D210" s="35">
        <f t="shared" si="5"/>
        <v>232.26666666666944</v>
      </c>
    </row>
    <row r="211" spans="2:4" x14ac:dyDescent="0.3">
      <c r="B211" s="16">
        <v>7.1625000000000006E-5</v>
      </c>
      <c r="C211" s="16">
        <v>19443800</v>
      </c>
      <c r="D211" s="35">
        <f t="shared" si="5"/>
        <v>232.26666666666102</v>
      </c>
    </row>
    <row r="212" spans="2:4" x14ac:dyDescent="0.3">
      <c r="B212" s="16">
        <v>7.2000000000000002E-5</v>
      </c>
      <c r="C212" s="16">
        <v>19531200</v>
      </c>
      <c r="D212" s="35">
        <f t="shared" si="5"/>
        <v>233.06666666666945</v>
      </c>
    </row>
    <row r="213" spans="2:4" x14ac:dyDescent="0.3">
      <c r="B213" s="16">
        <v>7.2374999999999997E-5</v>
      </c>
      <c r="C213" s="16">
        <v>19618300</v>
      </c>
      <c r="D213" s="35">
        <f t="shared" si="5"/>
        <v>232.26666666666944</v>
      </c>
    </row>
    <row r="214" spans="2:4" x14ac:dyDescent="0.3">
      <c r="B214" s="16">
        <v>7.2750000000000007E-5</v>
      </c>
      <c r="C214" s="16">
        <v>19705400</v>
      </c>
      <c r="D214" s="35">
        <f t="shared" si="5"/>
        <v>232.26666666666102</v>
      </c>
    </row>
    <row r="215" spans="2:4" x14ac:dyDescent="0.3">
      <c r="B215" s="16">
        <v>7.3125000000000002E-5</v>
      </c>
      <c r="C215" s="16">
        <v>19792600</v>
      </c>
      <c r="D215" s="35">
        <f t="shared" si="5"/>
        <v>232.53333333333609</v>
      </c>
    </row>
    <row r="216" spans="2:4" x14ac:dyDescent="0.3">
      <c r="B216" s="16">
        <v>7.3499999999999998E-5</v>
      </c>
      <c r="C216" s="16">
        <v>19879900</v>
      </c>
      <c r="D216" s="35">
        <f t="shared" si="5"/>
        <v>232.80000000000277</v>
      </c>
    </row>
    <row r="217" spans="2:4" x14ac:dyDescent="0.3">
      <c r="B217" s="16">
        <v>7.3875000000000007E-5</v>
      </c>
      <c r="C217" s="16">
        <v>19966800</v>
      </c>
      <c r="D217" s="35">
        <f t="shared" si="5"/>
        <v>231.73333333332772</v>
      </c>
    </row>
    <row r="218" spans="2:4" x14ac:dyDescent="0.3">
      <c r="B218" s="16">
        <v>7.4250000000000002E-5</v>
      </c>
      <c r="C218" s="16">
        <v>20054000</v>
      </c>
      <c r="D218" s="35">
        <f t="shared" ref="D218:D281" si="6">10^-9*(C218-C217)/(B218-B217)</f>
        <v>232.53333333333609</v>
      </c>
    </row>
    <row r="219" spans="2:4" x14ac:dyDescent="0.3">
      <c r="B219" s="16">
        <v>7.4624999999999998E-5</v>
      </c>
      <c r="C219" s="16">
        <v>20141100</v>
      </c>
      <c r="D219" s="35">
        <f t="shared" si="6"/>
        <v>232.26666666666944</v>
      </c>
    </row>
    <row r="220" spans="2:4" x14ac:dyDescent="0.3">
      <c r="B220" s="16">
        <v>7.4999999999999993E-5</v>
      </c>
      <c r="C220" s="16">
        <v>20228300</v>
      </c>
      <c r="D220" s="35">
        <f t="shared" si="6"/>
        <v>232.53333333333609</v>
      </c>
    </row>
    <row r="221" spans="2:4" x14ac:dyDescent="0.3">
      <c r="B221" s="16">
        <v>7.5375000000000003E-5</v>
      </c>
      <c r="C221" s="16">
        <v>20315200</v>
      </c>
      <c r="D221" s="35">
        <f t="shared" si="6"/>
        <v>231.73333333332772</v>
      </c>
    </row>
    <row r="222" spans="2:4" x14ac:dyDescent="0.3">
      <c r="B222" s="16">
        <v>7.5749999999999998E-5</v>
      </c>
      <c r="C222" s="16">
        <v>20402400</v>
      </c>
      <c r="D222" s="35">
        <f t="shared" si="6"/>
        <v>232.53333333333609</v>
      </c>
    </row>
    <row r="223" spans="2:4" x14ac:dyDescent="0.3">
      <c r="B223" s="16">
        <v>7.6124999999999994E-5</v>
      </c>
      <c r="C223" s="16">
        <v>20489500</v>
      </c>
      <c r="D223" s="35">
        <f t="shared" si="6"/>
        <v>232.26666666666944</v>
      </c>
    </row>
    <row r="224" spans="2:4" x14ac:dyDescent="0.3">
      <c r="B224" s="16">
        <v>7.6500000000000003E-5</v>
      </c>
      <c r="C224" s="16">
        <v>20576500</v>
      </c>
      <c r="D224" s="35">
        <f t="shared" si="6"/>
        <v>231.99999999999437</v>
      </c>
    </row>
    <row r="225" spans="2:4" x14ac:dyDescent="0.3">
      <c r="B225" s="16">
        <v>7.6874999999999998E-5</v>
      </c>
      <c r="C225" s="16">
        <v>20663600</v>
      </c>
      <c r="D225" s="35">
        <f t="shared" si="6"/>
        <v>232.26666666666944</v>
      </c>
    </row>
    <row r="226" spans="2:4" x14ac:dyDescent="0.3">
      <c r="B226" s="16">
        <v>7.7249999999999994E-5</v>
      </c>
      <c r="C226" s="16">
        <v>20750700</v>
      </c>
      <c r="D226" s="35">
        <f t="shared" si="6"/>
        <v>232.26666666666944</v>
      </c>
    </row>
    <row r="227" spans="2:4" x14ac:dyDescent="0.3">
      <c r="B227" s="16">
        <v>7.7625000000000003E-5</v>
      </c>
      <c r="C227" s="16">
        <v>20837700</v>
      </c>
      <c r="D227" s="35">
        <f t="shared" si="6"/>
        <v>231.99999999999437</v>
      </c>
    </row>
    <row r="228" spans="2:4" x14ac:dyDescent="0.3">
      <c r="B228" s="16">
        <v>7.7999999999999999E-5</v>
      </c>
      <c r="C228" s="16">
        <v>20924800</v>
      </c>
      <c r="D228" s="35">
        <f t="shared" si="6"/>
        <v>232.26666666666944</v>
      </c>
    </row>
    <row r="229" spans="2:4" x14ac:dyDescent="0.3">
      <c r="B229" s="16">
        <v>7.8374999999999994E-5</v>
      </c>
      <c r="C229" s="16">
        <v>21011800</v>
      </c>
      <c r="D229" s="35">
        <f t="shared" si="6"/>
        <v>232.00000000000276</v>
      </c>
    </row>
    <row r="230" spans="2:4" x14ac:dyDescent="0.3">
      <c r="B230" s="16">
        <v>7.8750000000000003E-5</v>
      </c>
      <c r="C230" s="16">
        <v>21098900</v>
      </c>
      <c r="D230" s="35">
        <f t="shared" si="6"/>
        <v>232.26666666666102</v>
      </c>
    </row>
    <row r="231" spans="2:4" x14ac:dyDescent="0.3">
      <c r="B231" s="16">
        <v>7.9124999999999999E-5</v>
      </c>
      <c r="C231" s="16">
        <v>21185900</v>
      </c>
      <c r="D231" s="35">
        <f t="shared" si="6"/>
        <v>232.00000000000276</v>
      </c>
    </row>
    <row r="232" spans="2:4" x14ac:dyDescent="0.3">
      <c r="B232" s="16">
        <v>7.9499999999999994E-5</v>
      </c>
      <c r="C232" s="16">
        <v>21272800</v>
      </c>
      <c r="D232" s="35">
        <f t="shared" si="6"/>
        <v>231.73333333333611</v>
      </c>
    </row>
    <row r="233" spans="2:4" x14ac:dyDescent="0.3">
      <c r="B233" s="16">
        <v>7.9875000000000004E-5</v>
      </c>
      <c r="C233" s="16">
        <v>21360000</v>
      </c>
      <c r="D233" s="35">
        <f t="shared" si="6"/>
        <v>232.5333333333277</v>
      </c>
    </row>
    <row r="234" spans="2:4" x14ac:dyDescent="0.3">
      <c r="B234" s="16">
        <v>8.0249999999999999E-5</v>
      </c>
      <c r="C234" s="16">
        <v>21446900</v>
      </c>
      <c r="D234" s="35">
        <f t="shared" si="6"/>
        <v>231.73333333333611</v>
      </c>
    </row>
    <row r="235" spans="2:4" x14ac:dyDescent="0.3">
      <c r="B235" s="16">
        <v>8.0624999999999995E-5</v>
      </c>
      <c r="C235" s="16">
        <v>21533900</v>
      </c>
      <c r="D235" s="35">
        <f t="shared" si="6"/>
        <v>232.00000000000276</v>
      </c>
    </row>
    <row r="236" spans="2:4" x14ac:dyDescent="0.3">
      <c r="B236" s="16">
        <v>8.1000000000000004E-5</v>
      </c>
      <c r="C236" s="16">
        <v>21621000</v>
      </c>
      <c r="D236" s="35">
        <f t="shared" si="6"/>
        <v>232.26666666666102</v>
      </c>
    </row>
    <row r="237" spans="2:4" x14ac:dyDescent="0.3">
      <c r="B237" s="16">
        <v>8.1374999999999999E-5</v>
      </c>
      <c r="C237" s="16">
        <v>21708000</v>
      </c>
      <c r="D237" s="35">
        <f t="shared" si="6"/>
        <v>232.00000000000276</v>
      </c>
    </row>
    <row r="238" spans="2:4" x14ac:dyDescent="0.3">
      <c r="B238" s="16">
        <v>8.1749999999999995E-5</v>
      </c>
      <c r="C238" s="16">
        <v>21795000</v>
      </c>
      <c r="D238" s="35">
        <f t="shared" si="6"/>
        <v>232.00000000000276</v>
      </c>
    </row>
    <row r="239" spans="2:4" x14ac:dyDescent="0.3">
      <c r="B239" s="16">
        <v>8.2125000000000004E-5</v>
      </c>
      <c r="C239" s="16">
        <v>21881900</v>
      </c>
      <c r="D239" s="35">
        <f t="shared" si="6"/>
        <v>231.73333333332772</v>
      </c>
    </row>
    <row r="240" spans="2:4" x14ac:dyDescent="0.3">
      <c r="B240" s="16">
        <v>8.25E-5</v>
      </c>
      <c r="C240" s="16">
        <v>21968900</v>
      </c>
      <c r="D240" s="35">
        <f t="shared" si="6"/>
        <v>232.00000000000276</v>
      </c>
    </row>
    <row r="241" spans="2:4" x14ac:dyDescent="0.3">
      <c r="B241" s="16">
        <v>8.2874999999999995E-5</v>
      </c>
      <c r="C241" s="16">
        <v>22056000</v>
      </c>
      <c r="D241" s="35">
        <f t="shared" si="6"/>
        <v>232.26666666666944</v>
      </c>
    </row>
    <row r="242" spans="2:4" x14ac:dyDescent="0.3">
      <c r="B242" s="16">
        <v>8.3250000000000004E-5</v>
      </c>
      <c r="C242" s="16">
        <v>22143000</v>
      </c>
      <c r="D242" s="35">
        <f t="shared" si="6"/>
        <v>231.99999999999437</v>
      </c>
    </row>
    <row r="243" spans="2:4" x14ac:dyDescent="0.3">
      <c r="B243" s="16">
        <v>8.3625E-5</v>
      </c>
      <c r="C243" s="16">
        <v>22229900</v>
      </c>
      <c r="D243" s="35">
        <f t="shared" si="6"/>
        <v>231.73333333333611</v>
      </c>
    </row>
    <row r="244" spans="2:4" x14ac:dyDescent="0.3">
      <c r="B244" s="16">
        <v>8.3999999999999995E-5</v>
      </c>
      <c r="C244" s="16">
        <v>22316900</v>
      </c>
      <c r="D244" s="35">
        <f t="shared" si="6"/>
        <v>232.00000000000276</v>
      </c>
    </row>
    <row r="245" spans="2:4" x14ac:dyDescent="0.3">
      <c r="B245" s="16">
        <v>8.4375000000000004E-5</v>
      </c>
      <c r="C245" s="16">
        <v>22403800</v>
      </c>
      <c r="D245" s="35">
        <f t="shared" si="6"/>
        <v>231.73333333332772</v>
      </c>
    </row>
    <row r="246" spans="2:4" x14ac:dyDescent="0.3">
      <c r="B246" s="16">
        <v>8.475E-5</v>
      </c>
      <c r="C246" s="16">
        <v>22490800</v>
      </c>
      <c r="D246" s="35">
        <f t="shared" si="6"/>
        <v>232.00000000000276</v>
      </c>
    </row>
    <row r="247" spans="2:4" x14ac:dyDescent="0.3">
      <c r="B247" s="16">
        <v>8.5124999999999996E-5</v>
      </c>
      <c r="C247" s="16">
        <v>22577800</v>
      </c>
      <c r="D247" s="35">
        <f t="shared" si="6"/>
        <v>232.00000000000276</v>
      </c>
    </row>
    <row r="248" spans="2:4" x14ac:dyDescent="0.3">
      <c r="B248" s="16">
        <v>8.5500000000000005E-5</v>
      </c>
      <c r="C248" s="16">
        <v>22664700</v>
      </c>
      <c r="D248" s="35">
        <f t="shared" si="6"/>
        <v>231.73333333332772</v>
      </c>
    </row>
    <row r="249" spans="2:4" x14ac:dyDescent="0.3">
      <c r="B249" s="16">
        <v>8.5875E-5</v>
      </c>
      <c r="C249" s="16">
        <v>22751700</v>
      </c>
      <c r="D249" s="35">
        <f t="shared" si="6"/>
        <v>232.00000000000276</v>
      </c>
    </row>
    <row r="250" spans="2:4" x14ac:dyDescent="0.3">
      <c r="B250" s="16">
        <v>8.6249999999999996E-5</v>
      </c>
      <c r="C250" s="16">
        <v>22838500</v>
      </c>
      <c r="D250" s="35">
        <f t="shared" si="6"/>
        <v>231.46666666666943</v>
      </c>
    </row>
    <row r="251" spans="2:4" x14ac:dyDescent="0.3">
      <c r="B251" s="16">
        <v>8.6625000000000005E-5</v>
      </c>
      <c r="C251" s="16">
        <v>22925400</v>
      </c>
      <c r="D251" s="35">
        <f t="shared" si="6"/>
        <v>231.73333333332772</v>
      </c>
    </row>
    <row r="252" spans="2:4" x14ac:dyDescent="0.3">
      <c r="B252" s="16">
        <v>8.7000000000000001E-5</v>
      </c>
      <c r="C252" s="16">
        <v>23012400</v>
      </c>
      <c r="D252" s="35">
        <f t="shared" si="6"/>
        <v>232.00000000000276</v>
      </c>
    </row>
    <row r="253" spans="2:4" x14ac:dyDescent="0.3">
      <c r="B253" s="16">
        <v>8.7374999999999996E-5</v>
      </c>
      <c r="C253" s="16">
        <v>23099300</v>
      </c>
      <c r="D253" s="35">
        <f t="shared" si="6"/>
        <v>231.73333333333611</v>
      </c>
    </row>
    <row r="254" spans="2:4" x14ac:dyDescent="0.3">
      <c r="B254" s="16">
        <v>8.7750000000000005E-5</v>
      </c>
      <c r="C254" s="16">
        <v>23186300</v>
      </c>
      <c r="D254" s="35">
        <f t="shared" si="6"/>
        <v>231.99999999999437</v>
      </c>
    </row>
    <row r="255" spans="2:4" x14ac:dyDescent="0.3">
      <c r="B255" s="16">
        <v>8.8125000000000001E-5</v>
      </c>
      <c r="C255" s="16">
        <v>23273300</v>
      </c>
      <c r="D255" s="35">
        <f t="shared" si="6"/>
        <v>232.00000000000276</v>
      </c>
    </row>
    <row r="256" spans="2:4" x14ac:dyDescent="0.3">
      <c r="B256" s="16">
        <v>8.8499999999999996E-5</v>
      </c>
      <c r="C256" s="16">
        <v>23360000</v>
      </c>
      <c r="D256" s="35">
        <f t="shared" si="6"/>
        <v>231.20000000000275</v>
      </c>
    </row>
    <row r="257" spans="2:4" x14ac:dyDescent="0.3">
      <c r="B257" s="16">
        <v>8.8875000000000005E-5</v>
      </c>
      <c r="C257" s="16">
        <v>23447000</v>
      </c>
      <c r="D257" s="35">
        <f t="shared" si="6"/>
        <v>231.99999999999437</v>
      </c>
    </row>
    <row r="258" spans="2:4" x14ac:dyDescent="0.3">
      <c r="B258" s="16">
        <v>8.9250000000000001E-5</v>
      </c>
      <c r="C258" s="16">
        <v>23534000</v>
      </c>
      <c r="D258" s="35">
        <f t="shared" si="6"/>
        <v>232.00000000000276</v>
      </c>
    </row>
    <row r="259" spans="2:4" x14ac:dyDescent="0.3">
      <c r="B259" s="16">
        <v>8.9624999999999997E-5</v>
      </c>
      <c r="C259" s="16">
        <v>23620700</v>
      </c>
      <c r="D259" s="35">
        <f t="shared" si="6"/>
        <v>231.20000000000275</v>
      </c>
    </row>
    <row r="260" spans="2:4" x14ac:dyDescent="0.3">
      <c r="B260" s="16">
        <v>9.0000000000000006E-5</v>
      </c>
      <c r="C260" s="16">
        <v>23707700</v>
      </c>
      <c r="D260" s="35">
        <f t="shared" si="6"/>
        <v>231.99999999999437</v>
      </c>
    </row>
    <row r="261" spans="2:4" x14ac:dyDescent="0.3">
      <c r="B261" s="16">
        <v>9.0375000000000001E-5</v>
      </c>
      <c r="C261" s="16">
        <v>23794600</v>
      </c>
      <c r="D261" s="35">
        <f t="shared" si="6"/>
        <v>231.73333333333611</v>
      </c>
    </row>
    <row r="262" spans="2:4" x14ac:dyDescent="0.3">
      <c r="B262" s="16">
        <v>9.0749999999999997E-5</v>
      </c>
      <c r="C262" s="16">
        <v>23881400</v>
      </c>
      <c r="D262" s="35">
        <f t="shared" si="6"/>
        <v>231.46666666666943</v>
      </c>
    </row>
    <row r="263" spans="2:4" x14ac:dyDescent="0.3">
      <c r="B263" s="16">
        <v>9.1125000000000006E-5</v>
      </c>
      <c r="C263" s="16">
        <v>23968400</v>
      </c>
      <c r="D263" s="35">
        <f t="shared" si="6"/>
        <v>231.99999999999437</v>
      </c>
    </row>
    <row r="264" spans="2:4" x14ac:dyDescent="0.3">
      <c r="B264" s="16">
        <v>9.1500000000000001E-5</v>
      </c>
      <c r="C264" s="16">
        <v>24055200</v>
      </c>
      <c r="D264" s="35">
        <f t="shared" si="6"/>
        <v>231.46666666666943</v>
      </c>
    </row>
    <row r="265" spans="2:4" x14ac:dyDescent="0.3">
      <c r="B265" s="16">
        <v>9.1874999999999997E-5</v>
      </c>
      <c r="C265" s="16">
        <v>24142100</v>
      </c>
      <c r="D265" s="35">
        <f t="shared" si="6"/>
        <v>231.73333333333611</v>
      </c>
    </row>
    <row r="266" spans="2:4" x14ac:dyDescent="0.3">
      <c r="B266" s="16">
        <v>9.2250000000000006E-5</v>
      </c>
      <c r="C266" s="16">
        <v>24229100</v>
      </c>
      <c r="D266" s="35">
        <f t="shared" si="6"/>
        <v>231.99999999999437</v>
      </c>
    </row>
    <row r="267" spans="2:4" x14ac:dyDescent="0.3">
      <c r="B267" s="16">
        <v>9.2625000000000002E-5</v>
      </c>
      <c r="C267" s="16">
        <v>24315900</v>
      </c>
      <c r="D267" s="35">
        <f t="shared" si="6"/>
        <v>231.46666666666943</v>
      </c>
    </row>
    <row r="268" spans="2:4" x14ac:dyDescent="0.3">
      <c r="B268" s="16">
        <v>9.2999999999999997E-5</v>
      </c>
      <c r="C268" s="16">
        <v>24402800</v>
      </c>
      <c r="D268" s="35">
        <f t="shared" si="6"/>
        <v>231.73333333333611</v>
      </c>
    </row>
    <row r="269" spans="2:4" x14ac:dyDescent="0.3">
      <c r="B269" s="16">
        <v>9.3375000000000006E-5</v>
      </c>
      <c r="C269" s="16">
        <v>24489600</v>
      </c>
      <c r="D269" s="35">
        <f t="shared" si="6"/>
        <v>231.46666666666107</v>
      </c>
    </row>
    <row r="270" spans="2:4" x14ac:dyDescent="0.3">
      <c r="B270" s="16">
        <v>9.3750000000000002E-5</v>
      </c>
      <c r="C270" s="16">
        <v>24576600</v>
      </c>
      <c r="D270" s="35">
        <f t="shared" si="6"/>
        <v>232.00000000000276</v>
      </c>
    </row>
    <row r="271" spans="2:4" x14ac:dyDescent="0.3">
      <c r="B271" s="16">
        <v>9.4124999999999998E-5</v>
      </c>
      <c r="C271" s="16">
        <v>24663300</v>
      </c>
      <c r="D271" s="35">
        <f t="shared" si="6"/>
        <v>231.20000000000275</v>
      </c>
    </row>
    <row r="272" spans="2:4" x14ac:dyDescent="0.3">
      <c r="B272" s="16">
        <v>9.4500000000000007E-5</v>
      </c>
      <c r="C272" s="16">
        <v>24750300</v>
      </c>
      <c r="D272" s="35">
        <f t="shared" si="6"/>
        <v>231.99999999999437</v>
      </c>
    </row>
    <row r="273" spans="2:4" x14ac:dyDescent="0.3">
      <c r="B273" s="16">
        <v>9.4875000000000002E-5</v>
      </c>
      <c r="C273" s="16">
        <v>24837100</v>
      </c>
      <c r="D273" s="35">
        <f t="shared" si="6"/>
        <v>231.46666666666943</v>
      </c>
    </row>
    <row r="274" spans="2:4" x14ac:dyDescent="0.3">
      <c r="B274" s="16">
        <v>9.5249999999999998E-5</v>
      </c>
      <c r="C274" s="16">
        <v>24923900</v>
      </c>
      <c r="D274" s="35">
        <f t="shared" si="6"/>
        <v>231.46666666666943</v>
      </c>
    </row>
    <row r="275" spans="2:4" x14ac:dyDescent="0.3">
      <c r="B275" s="16">
        <v>9.5624999999999993E-5</v>
      </c>
      <c r="C275" s="16">
        <v>25010800</v>
      </c>
      <c r="D275" s="35">
        <f t="shared" si="6"/>
        <v>231.73333333333611</v>
      </c>
    </row>
    <row r="276" spans="2:4" x14ac:dyDescent="0.3">
      <c r="B276" s="16">
        <v>9.6000000000000002E-5</v>
      </c>
      <c r="C276" s="16">
        <v>25097800</v>
      </c>
      <c r="D276" s="35">
        <f t="shared" si="6"/>
        <v>231.99999999999437</v>
      </c>
    </row>
    <row r="277" spans="2:4" x14ac:dyDescent="0.3">
      <c r="B277" s="16">
        <v>9.6374999999999998E-5</v>
      </c>
      <c r="C277" s="16">
        <v>25184600</v>
      </c>
      <c r="D277" s="35">
        <f t="shared" si="6"/>
        <v>231.46666666666943</v>
      </c>
    </row>
    <row r="278" spans="2:4" x14ac:dyDescent="0.3">
      <c r="B278" s="16">
        <v>9.6749999999999994E-5</v>
      </c>
      <c r="C278" s="16">
        <v>25271500</v>
      </c>
      <c r="D278" s="35">
        <f t="shared" si="6"/>
        <v>231.73333333333611</v>
      </c>
    </row>
    <row r="279" spans="2:4" x14ac:dyDescent="0.3">
      <c r="B279" s="16">
        <v>9.7125000000000003E-5</v>
      </c>
      <c r="C279" s="16">
        <v>25358300</v>
      </c>
      <c r="D279" s="35">
        <f t="shared" si="6"/>
        <v>231.46666666666107</v>
      </c>
    </row>
    <row r="280" spans="2:4" x14ac:dyDescent="0.3">
      <c r="B280" s="16">
        <v>9.7499999999999998E-5</v>
      </c>
      <c r="C280" s="16">
        <v>25445200</v>
      </c>
      <c r="D280" s="35">
        <f t="shared" si="6"/>
        <v>231.73333333333611</v>
      </c>
    </row>
    <row r="281" spans="2:4" x14ac:dyDescent="0.3">
      <c r="B281" s="16">
        <v>9.7874999999999994E-5</v>
      </c>
      <c r="C281" s="16">
        <v>25532000</v>
      </c>
      <c r="D281" s="35">
        <f t="shared" si="6"/>
        <v>231.46666666666943</v>
      </c>
    </row>
    <row r="282" spans="2:4" x14ac:dyDescent="0.3">
      <c r="B282" s="16">
        <v>9.8250000000000003E-5</v>
      </c>
      <c r="C282" s="16">
        <v>25619000</v>
      </c>
      <c r="D282" s="35">
        <f t="shared" ref="D282:D290" si="7">10^-9*(C282-C281)/(B282-B281)</f>
        <v>231.99999999999437</v>
      </c>
    </row>
    <row r="283" spans="2:4" x14ac:dyDescent="0.3">
      <c r="B283" s="16">
        <v>9.8624999999999998E-5</v>
      </c>
      <c r="C283" s="16">
        <v>25705800</v>
      </c>
      <c r="D283" s="35">
        <f t="shared" si="7"/>
        <v>231.46666666666943</v>
      </c>
    </row>
    <row r="284" spans="2:4" x14ac:dyDescent="0.3">
      <c r="B284" s="16">
        <v>9.8999999999999994E-5</v>
      </c>
      <c r="C284" s="16">
        <v>25792700</v>
      </c>
      <c r="D284" s="35">
        <f t="shared" si="7"/>
        <v>231.73333333333611</v>
      </c>
    </row>
    <row r="285" spans="2:4" x14ac:dyDescent="0.3">
      <c r="B285" s="16">
        <v>9.9375000000000003E-5</v>
      </c>
      <c r="C285" s="16">
        <v>25879500</v>
      </c>
      <c r="D285" s="35">
        <f t="shared" si="7"/>
        <v>231.46666666666107</v>
      </c>
    </row>
    <row r="286" spans="2:4" x14ac:dyDescent="0.3">
      <c r="B286" s="16">
        <v>9.9749999999999999E-5</v>
      </c>
      <c r="C286" s="16">
        <v>25966600</v>
      </c>
      <c r="D286" s="35">
        <f t="shared" si="7"/>
        <v>232.26666666666944</v>
      </c>
    </row>
    <row r="287" spans="2:4" x14ac:dyDescent="0.3">
      <c r="B287">
        <v>1.0012499999999999E-4</v>
      </c>
      <c r="C287" s="16">
        <v>26053200</v>
      </c>
      <c r="D287" s="35">
        <f t="shared" si="7"/>
        <v>230.93333333333607</v>
      </c>
    </row>
    <row r="288" spans="2:4" x14ac:dyDescent="0.3">
      <c r="B288">
        <v>1.005E-4</v>
      </c>
      <c r="C288" s="16">
        <v>26140400</v>
      </c>
      <c r="D288" s="35">
        <f t="shared" si="7"/>
        <v>232.5333333333277</v>
      </c>
    </row>
    <row r="289" spans="2:4" x14ac:dyDescent="0.3">
      <c r="B289">
        <v>1.00875E-4</v>
      </c>
      <c r="C289" s="16">
        <v>26229100</v>
      </c>
      <c r="D289" s="35">
        <f t="shared" si="7"/>
        <v>236.53333333333615</v>
      </c>
    </row>
    <row r="290" spans="2:4" x14ac:dyDescent="0.3">
      <c r="B290">
        <v>1.0124999999999999E-4</v>
      </c>
      <c r="C290" s="16">
        <v>26317900</v>
      </c>
      <c r="D290" s="35">
        <f t="shared" si="7"/>
        <v>236.80000000000283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3:O23"/>
  <sheetViews>
    <sheetView workbookViewId="0">
      <selection activeCell="M5" sqref="M5"/>
    </sheetView>
  </sheetViews>
  <sheetFormatPr defaultRowHeight="14.4" x14ac:dyDescent="0.3"/>
  <cols>
    <col min="3" max="3" width="16.6640625" bestFit="1" customWidth="1"/>
    <col min="4" max="4" width="10" customWidth="1"/>
    <col min="5" max="5" width="9.5546875" customWidth="1"/>
    <col min="7" max="7" width="8.88671875" hidden="1" customWidth="1"/>
    <col min="8" max="8" width="0" hidden="1" customWidth="1"/>
    <col min="9" max="9" width="8.88671875" hidden="1" customWidth="1"/>
    <col min="11" max="11" width="8.88671875" hidden="1" customWidth="1"/>
    <col min="12" max="12" width="8" bestFit="1" customWidth="1"/>
    <col min="13" max="13" width="12" customWidth="1"/>
  </cols>
  <sheetData>
    <row r="3" spans="1:15" x14ac:dyDescent="0.3">
      <c r="C3" s="61" t="s">
        <v>93</v>
      </c>
      <c r="D3" s="22" t="s">
        <v>6</v>
      </c>
      <c r="E3" s="22" t="s">
        <v>7</v>
      </c>
      <c r="F3" s="22" t="s">
        <v>0</v>
      </c>
      <c r="G3" s="22" t="s">
        <v>54</v>
      </c>
      <c r="H3" s="22" t="s">
        <v>60</v>
      </c>
      <c r="I3" s="22" t="s">
        <v>55</v>
      </c>
      <c r="J3" s="25" t="s">
        <v>72</v>
      </c>
      <c r="K3" s="25" t="s">
        <v>76</v>
      </c>
      <c r="L3" s="25" t="s">
        <v>70</v>
      </c>
      <c r="M3" s="22" t="s">
        <v>61</v>
      </c>
      <c r="N3" s="22" t="s">
        <v>2</v>
      </c>
    </row>
    <row r="4" spans="1:15" ht="16.2" x14ac:dyDescent="0.3">
      <c r="C4" s="62"/>
      <c r="D4" s="22" t="s">
        <v>56</v>
      </c>
      <c r="E4" s="22" t="s">
        <v>56</v>
      </c>
      <c r="F4" s="22" t="s">
        <v>56</v>
      </c>
      <c r="G4" s="22" t="s">
        <v>94</v>
      </c>
      <c r="H4" s="22" t="s">
        <v>58</v>
      </c>
      <c r="I4" s="22" t="s">
        <v>57</v>
      </c>
      <c r="J4" s="25" t="s">
        <v>73</v>
      </c>
      <c r="K4" s="25" t="s">
        <v>57</v>
      </c>
      <c r="L4" s="25" t="s">
        <v>71</v>
      </c>
      <c r="M4" s="22" t="s">
        <v>62</v>
      </c>
      <c r="N4" s="22" t="s">
        <v>63</v>
      </c>
    </row>
    <row r="5" spans="1:15" x14ac:dyDescent="0.3">
      <c r="A5" s="30">
        <f>E5/(2*F5)</f>
        <v>4.7770700636942671E-2</v>
      </c>
      <c r="C5" s="17" t="s">
        <v>95</v>
      </c>
      <c r="D5" s="18">
        <v>38.1</v>
      </c>
      <c r="E5" s="18">
        <v>4.5</v>
      </c>
      <c r="F5" s="18">
        <f t="shared" ref="F5:F7" si="0">D5+2*E5</f>
        <v>47.1</v>
      </c>
      <c r="G5" s="19">
        <f>0.25*PI()*(D5+2*E5)^2-0.25*PI()*D5^2</f>
        <v>602.24331169316361</v>
      </c>
      <c r="H5" s="18">
        <v>1</v>
      </c>
      <c r="I5" s="19">
        <f t="shared" ref="I5:I10" si="1">H5*G5</f>
        <v>602.24331169316361</v>
      </c>
      <c r="J5" s="19">
        <v>69</v>
      </c>
      <c r="K5" s="19">
        <f>0.25*PI()*D5^2</f>
        <v>1140.0918279693699</v>
      </c>
      <c r="L5" s="19">
        <f>J5*K5*H5*0.001</f>
        <v>78.666336129886517</v>
      </c>
      <c r="M5" s="18">
        <v>200000</v>
      </c>
      <c r="N5" s="20">
        <f>M5*I5*0.000001</f>
        <v>120.44866233863272</v>
      </c>
      <c r="O5" s="30">
        <f>N5/$N$11</f>
        <v>0.13653035140220307</v>
      </c>
    </row>
    <row r="6" spans="1:15" x14ac:dyDescent="0.3">
      <c r="C6" s="17" t="s">
        <v>96</v>
      </c>
      <c r="D6" s="18">
        <v>38.1</v>
      </c>
      <c r="E6" s="18">
        <v>4.5</v>
      </c>
      <c r="F6" s="18">
        <f t="shared" si="0"/>
        <v>47.1</v>
      </c>
      <c r="G6" s="19">
        <f>0.25*PI()*(D6+2*E6)^2-0.25*PI()*D6^2</f>
        <v>602.24331169316361</v>
      </c>
      <c r="H6" s="18">
        <v>4</v>
      </c>
      <c r="I6" s="19">
        <f t="shared" si="1"/>
        <v>2408.9732467726544</v>
      </c>
      <c r="J6" s="19">
        <v>69</v>
      </c>
      <c r="K6" s="19">
        <f>0.25*PI()*D6^2</f>
        <v>1140.0918279693699</v>
      </c>
      <c r="L6" s="19">
        <f>J6*K6*H6*0.001</f>
        <v>314.66534451954607</v>
      </c>
      <c r="M6" s="18">
        <f>M5</f>
        <v>200000</v>
      </c>
      <c r="N6" s="20">
        <f t="shared" ref="N6:N10" si="2">M6*I6*0.000001</f>
        <v>481.79464935453086</v>
      </c>
      <c r="O6" s="30">
        <f>N6/$N$11</f>
        <v>0.54612140560881228</v>
      </c>
    </row>
    <row r="7" spans="1:15" x14ac:dyDescent="0.3">
      <c r="C7" s="17" t="s">
        <v>59</v>
      </c>
      <c r="D7" s="18">
        <v>25.4</v>
      </c>
      <c r="E7" s="18">
        <v>3.34</v>
      </c>
      <c r="F7" s="1">
        <f t="shared" si="0"/>
        <v>32.08</v>
      </c>
      <c r="G7" s="19">
        <f>0.25*PI()*(D7+2*E7)^2-0.25*PI()*D7^2</f>
        <v>301.56650536632998</v>
      </c>
      <c r="H7" s="18">
        <v>3</v>
      </c>
      <c r="I7" s="19">
        <f t="shared" si="1"/>
        <v>904.69951609898999</v>
      </c>
      <c r="J7" s="19">
        <v>69</v>
      </c>
      <c r="K7" s="19">
        <f>0.25*PI()*D7^2</f>
        <v>506.7074790974977</v>
      </c>
      <c r="L7" s="19">
        <f t="shared" ref="L7:L10" si="3">J7*K7*H7*0.001</f>
        <v>104.88844817318201</v>
      </c>
      <c r="M7" s="18">
        <f t="shared" ref="M7:M10" si="4">M6</f>
        <v>200000</v>
      </c>
      <c r="N7" s="20">
        <f t="shared" si="2"/>
        <v>180.939903219798</v>
      </c>
      <c r="O7" s="30">
        <f t="shared" ref="O7:O10" si="5">N7/$N$11</f>
        <v>0.20509807323411131</v>
      </c>
    </row>
    <row r="8" spans="1:15" x14ac:dyDescent="0.3">
      <c r="C8" s="17" t="s">
        <v>104</v>
      </c>
      <c r="D8" s="18">
        <f>F8-2*E8</f>
        <v>19.05</v>
      </c>
      <c r="E8" s="18">
        <v>1.1000000000000001</v>
      </c>
      <c r="F8" s="31">
        <v>21.25</v>
      </c>
      <c r="G8" s="19">
        <f>0.25*PI()*(D8+2*E8)^2-0.25*PI()*D8^2</f>
        <v>69.633401166817748</v>
      </c>
      <c r="H8" s="18">
        <v>2</v>
      </c>
      <c r="I8" s="19">
        <f t="shared" si="1"/>
        <v>139.2668023336355</v>
      </c>
      <c r="J8" s="19">
        <v>34.5</v>
      </c>
      <c r="K8" s="19">
        <f>0.25*PI()*D8^2</f>
        <v>285.02295699234247</v>
      </c>
      <c r="L8" s="19">
        <f t="shared" si="3"/>
        <v>19.666584032471629</v>
      </c>
      <c r="M8" s="18">
        <f t="shared" si="4"/>
        <v>200000</v>
      </c>
      <c r="N8" s="20">
        <f t="shared" si="2"/>
        <v>27.8533604667271</v>
      </c>
      <c r="O8" s="30">
        <f t="shared" si="5"/>
        <v>3.1572198631505788E-2</v>
      </c>
    </row>
    <row r="9" spans="1:15" x14ac:dyDescent="0.3">
      <c r="C9" s="17" t="s">
        <v>99</v>
      </c>
      <c r="D9" s="18">
        <f>F9-2*E9</f>
        <v>15.88</v>
      </c>
      <c r="E9" s="18">
        <v>1.54</v>
      </c>
      <c r="F9" s="18">
        <v>18.96</v>
      </c>
      <c r="G9" s="19">
        <f>0.25*PI()*D9^2</f>
        <v>198.05731061585351</v>
      </c>
      <c r="H9" s="18">
        <v>1</v>
      </c>
      <c r="I9" s="19">
        <f t="shared" si="1"/>
        <v>198.05731061585351</v>
      </c>
      <c r="J9" s="19">
        <v>69</v>
      </c>
      <c r="K9" s="19">
        <f t="shared" ref="K9:K10" si="6">0.25*PI()*D9^2</f>
        <v>198.05731061585351</v>
      </c>
      <c r="L9" s="19">
        <f t="shared" si="3"/>
        <v>13.665954432493892</v>
      </c>
      <c r="M9" s="18">
        <f t="shared" si="4"/>
        <v>200000</v>
      </c>
      <c r="N9" s="20">
        <f t="shared" si="2"/>
        <v>39.611462123170703</v>
      </c>
      <c r="O9" s="30">
        <f t="shared" si="5"/>
        <v>4.490018185529436E-2</v>
      </c>
    </row>
    <row r="10" spans="1:15" x14ac:dyDescent="0.3">
      <c r="C10" s="17" t="s">
        <v>92</v>
      </c>
      <c r="D10" s="18">
        <f>F10-2*E10</f>
        <v>12.7</v>
      </c>
      <c r="E10" s="18">
        <v>1.23</v>
      </c>
      <c r="F10" s="18">
        <f>7.58*2</f>
        <v>15.16</v>
      </c>
      <c r="G10" s="19">
        <f>0.25*PI()*D10^2</f>
        <v>126.67686977437442</v>
      </c>
      <c r="H10" s="18">
        <v>6</v>
      </c>
      <c r="I10" s="19">
        <f t="shared" si="1"/>
        <v>760.06121864624652</v>
      </c>
      <c r="J10" s="19">
        <v>69</v>
      </c>
      <c r="K10" s="19">
        <f t="shared" si="6"/>
        <v>126.67686977437442</v>
      </c>
      <c r="L10" s="19">
        <f t="shared" si="3"/>
        <v>52.444224086591007</v>
      </c>
      <c r="M10" s="18">
        <f t="shared" si="4"/>
        <v>200000</v>
      </c>
      <c r="N10" s="20">
        <f t="shared" si="2"/>
        <v>152.01224372924929</v>
      </c>
      <c r="O10" s="30">
        <f t="shared" si="5"/>
        <v>0.17230814067027639</v>
      </c>
    </row>
    <row r="11" spans="1:15" x14ac:dyDescent="0.3">
      <c r="C11" s="21"/>
      <c r="D11" s="28"/>
      <c r="E11" s="28"/>
      <c r="F11" s="28"/>
      <c r="G11" s="28"/>
      <c r="H11" s="21">
        <f>SUM(H5:H10)</f>
        <v>17</v>
      </c>
      <c r="I11" s="21"/>
      <c r="J11" s="21"/>
      <c r="K11" s="21"/>
      <c r="L11" s="29">
        <f>SUM(L5:L10)</f>
        <v>583.99689137417113</v>
      </c>
      <c r="M11" s="17" t="s">
        <v>64</v>
      </c>
      <c r="N11" s="20">
        <f>SUM(N6:N10)</f>
        <v>882.21161889347582</v>
      </c>
    </row>
    <row r="15" spans="1:15" x14ac:dyDescent="0.3">
      <c r="C15" s="61" t="s">
        <v>93</v>
      </c>
      <c r="D15" s="25" t="s">
        <v>6</v>
      </c>
      <c r="E15" s="25" t="s">
        <v>7</v>
      </c>
      <c r="F15" s="25" t="s">
        <v>0</v>
      </c>
      <c r="G15" s="25" t="s">
        <v>54</v>
      </c>
      <c r="H15" s="25" t="s">
        <v>60</v>
      </c>
      <c r="I15" s="25" t="s">
        <v>55</v>
      </c>
      <c r="J15" s="25" t="s">
        <v>72</v>
      </c>
      <c r="K15" s="25" t="s">
        <v>76</v>
      </c>
      <c r="L15" s="25" t="s">
        <v>70</v>
      </c>
      <c r="M15" s="25" t="s">
        <v>61</v>
      </c>
      <c r="N15" s="25" t="s">
        <v>2</v>
      </c>
    </row>
    <row r="16" spans="1:15" ht="16.2" x14ac:dyDescent="0.3">
      <c r="C16" s="62"/>
      <c r="D16" s="25" t="s">
        <v>56</v>
      </c>
      <c r="E16" s="25" t="s">
        <v>56</v>
      </c>
      <c r="F16" s="25" t="s">
        <v>56</v>
      </c>
      <c r="G16" s="25" t="s">
        <v>94</v>
      </c>
      <c r="H16" s="25" t="s">
        <v>58</v>
      </c>
      <c r="I16" s="25" t="s">
        <v>57</v>
      </c>
      <c r="J16" s="25" t="s">
        <v>73</v>
      </c>
      <c r="K16" s="25" t="s">
        <v>57</v>
      </c>
      <c r="L16" s="25" t="s">
        <v>71</v>
      </c>
      <c r="M16" s="25" t="s">
        <v>62</v>
      </c>
      <c r="N16" s="25" t="s">
        <v>63</v>
      </c>
    </row>
    <row r="17" spans="3:15" x14ac:dyDescent="0.3">
      <c r="C17" s="17" t="s">
        <v>95</v>
      </c>
      <c r="D17" s="18">
        <v>38.1</v>
      </c>
      <c r="E17" s="18">
        <v>4</v>
      </c>
      <c r="F17" s="18">
        <f t="shared" ref="F17:F19" si="7">D17+2*E17</f>
        <v>46.1</v>
      </c>
      <c r="G17" s="19">
        <f>0.25*PI()*(D17+2*E17)^2-0.25*PI()*D17^2</f>
        <v>529.04420286452114</v>
      </c>
      <c r="H17" s="18">
        <v>1</v>
      </c>
      <c r="I17" s="19">
        <f t="shared" ref="I17:I22" si="8">H17*G17</f>
        <v>529.04420286452114</v>
      </c>
      <c r="J17" s="19">
        <v>69</v>
      </c>
      <c r="K17" s="19">
        <f>0.25*PI()*D17^2</f>
        <v>1140.0918279693699</v>
      </c>
      <c r="L17" s="19">
        <f>J17*K17*H17*0.001</f>
        <v>78.666336129886517</v>
      </c>
      <c r="M17" s="18">
        <v>200000</v>
      </c>
      <c r="N17" s="20">
        <f>M17*I17*0.000001</f>
        <v>105.80884057290423</v>
      </c>
      <c r="O17" s="30">
        <f>N17/$N$11</f>
        <v>0.11993589554580589</v>
      </c>
    </row>
    <row r="18" spans="3:15" x14ac:dyDescent="0.3">
      <c r="C18" s="17" t="s">
        <v>96</v>
      </c>
      <c r="D18" s="18">
        <v>38.1</v>
      </c>
      <c r="E18" s="18">
        <v>4</v>
      </c>
      <c r="F18" s="18">
        <f t="shared" si="7"/>
        <v>46.1</v>
      </c>
      <c r="G18" s="19">
        <f>0.25*PI()*(D18+2*E18)^2-0.25*PI()*D18^2</f>
        <v>529.04420286452114</v>
      </c>
      <c r="H18" s="18">
        <v>4</v>
      </c>
      <c r="I18" s="19">
        <f t="shared" si="8"/>
        <v>2116.1768114580846</v>
      </c>
      <c r="J18" s="19">
        <v>69</v>
      </c>
      <c r="K18" s="19">
        <f>0.25*PI()*D18^2</f>
        <v>1140.0918279693699</v>
      </c>
      <c r="L18" s="19">
        <f>J18*K18*H18*0.001</f>
        <v>314.66534451954607</v>
      </c>
      <c r="M18" s="18">
        <f>M17</f>
        <v>200000</v>
      </c>
      <c r="N18" s="20">
        <f t="shared" ref="N18:N22" si="9">M18*I18*0.000001</f>
        <v>423.23536229161692</v>
      </c>
      <c r="O18" s="30">
        <f>N18/$N$11</f>
        <v>0.47974358218322355</v>
      </c>
    </row>
    <row r="19" spans="3:15" x14ac:dyDescent="0.3">
      <c r="C19" s="17" t="s">
        <v>59</v>
      </c>
      <c r="D19" s="18">
        <v>25.4</v>
      </c>
      <c r="E19" s="18">
        <v>3.34</v>
      </c>
      <c r="F19" s="1">
        <f t="shared" si="7"/>
        <v>32.08</v>
      </c>
      <c r="G19" s="19">
        <f>0.25*PI()*(D19+2*E19)^2-0.25*PI()*D19^2</f>
        <v>301.56650536632998</v>
      </c>
      <c r="H19" s="18">
        <v>3</v>
      </c>
      <c r="I19" s="19">
        <f t="shared" si="8"/>
        <v>904.69951609898999</v>
      </c>
      <c r="J19" s="19">
        <v>69</v>
      </c>
      <c r="K19" s="19">
        <f>0.25*PI()*D19^2</f>
        <v>506.7074790974977</v>
      </c>
      <c r="L19" s="19">
        <f t="shared" ref="L19:L22" si="10">J19*K19*H19*0.001</f>
        <v>104.88844817318201</v>
      </c>
      <c r="M19" s="18">
        <f t="shared" ref="M19:M22" si="11">M18</f>
        <v>200000</v>
      </c>
      <c r="N19" s="20">
        <f t="shared" si="9"/>
        <v>180.939903219798</v>
      </c>
      <c r="O19" s="30">
        <f t="shared" ref="O19:O22" si="12">N19/$N$11</f>
        <v>0.20509807323411131</v>
      </c>
    </row>
    <row r="20" spans="3:15" x14ac:dyDescent="0.3">
      <c r="C20" s="17" t="s">
        <v>104</v>
      </c>
      <c r="D20" s="18">
        <f>F20-2*E20</f>
        <v>19.05</v>
      </c>
      <c r="E20" s="18">
        <v>1.1000000000000001</v>
      </c>
      <c r="F20" s="31">
        <v>21.25</v>
      </c>
      <c r="G20" s="19">
        <f>0.25*PI()*(D20+2*E20)^2-0.25*PI()*D20^2</f>
        <v>69.633401166817748</v>
      </c>
      <c r="H20" s="18">
        <v>2</v>
      </c>
      <c r="I20" s="19">
        <f t="shared" si="8"/>
        <v>139.2668023336355</v>
      </c>
      <c r="J20" s="19">
        <v>34.5</v>
      </c>
      <c r="K20" s="19">
        <f>0.25*PI()*D20^2</f>
        <v>285.02295699234247</v>
      </c>
      <c r="L20" s="19">
        <f t="shared" si="10"/>
        <v>19.666584032471629</v>
      </c>
      <c r="M20" s="18">
        <f t="shared" si="11"/>
        <v>200000</v>
      </c>
      <c r="N20" s="20">
        <f t="shared" si="9"/>
        <v>27.8533604667271</v>
      </c>
      <c r="O20" s="30">
        <f t="shared" si="12"/>
        <v>3.1572198631505788E-2</v>
      </c>
    </row>
    <row r="21" spans="3:15" x14ac:dyDescent="0.3">
      <c r="C21" s="17" t="s">
        <v>99</v>
      </c>
      <c r="D21" s="18">
        <f>F21-2*E21</f>
        <v>15.88</v>
      </c>
      <c r="E21" s="18">
        <v>1.54</v>
      </c>
      <c r="F21" s="18">
        <v>18.96</v>
      </c>
      <c r="G21" s="19">
        <f>0.25*PI()*D21^2</f>
        <v>198.05731061585351</v>
      </c>
      <c r="H21" s="18">
        <v>1</v>
      </c>
      <c r="I21" s="19">
        <f t="shared" si="8"/>
        <v>198.05731061585351</v>
      </c>
      <c r="J21" s="19">
        <v>69</v>
      </c>
      <c r="K21" s="19">
        <f t="shared" ref="K21:K22" si="13">0.25*PI()*D21^2</f>
        <v>198.05731061585351</v>
      </c>
      <c r="L21" s="19">
        <f t="shared" si="10"/>
        <v>13.665954432493892</v>
      </c>
      <c r="M21" s="18">
        <f t="shared" si="11"/>
        <v>200000</v>
      </c>
      <c r="N21" s="20">
        <f t="shared" si="9"/>
        <v>39.611462123170703</v>
      </c>
      <c r="O21" s="30">
        <f t="shared" si="12"/>
        <v>4.490018185529436E-2</v>
      </c>
    </row>
    <row r="22" spans="3:15" x14ac:dyDescent="0.3">
      <c r="C22" s="17" t="s">
        <v>92</v>
      </c>
      <c r="D22" s="18">
        <f>F22-2*E22</f>
        <v>12.7</v>
      </c>
      <c r="E22" s="18">
        <v>1.23</v>
      </c>
      <c r="F22" s="18">
        <f>7.58*2</f>
        <v>15.16</v>
      </c>
      <c r="G22" s="19">
        <f>0.25*PI()*D22^2</f>
        <v>126.67686977437442</v>
      </c>
      <c r="H22" s="18">
        <v>6</v>
      </c>
      <c r="I22" s="19">
        <f t="shared" si="8"/>
        <v>760.06121864624652</v>
      </c>
      <c r="J22" s="19">
        <v>69</v>
      </c>
      <c r="K22" s="19">
        <f t="shared" si="13"/>
        <v>126.67686977437442</v>
      </c>
      <c r="L22" s="19">
        <f t="shared" si="10"/>
        <v>52.444224086591007</v>
      </c>
      <c r="M22" s="18">
        <f t="shared" si="11"/>
        <v>200000</v>
      </c>
      <c r="N22" s="20">
        <f t="shared" si="9"/>
        <v>152.01224372924929</v>
      </c>
      <c r="O22" s="30">
        <f t="shared" si="12"/>
        <v>0.17230814067027639</v>
      </c>
    </row>
    <row r="23" spans="3:15" x14ac:dyDescent="0.3">
      <c r="C23" s="21"/>
      <c r="D23" s="28"/>
      <c r="E23" s="28"/>
      <c r="F23" s="28"/>
      <c r="G23" s="28"/>
      <c r="H23" s="21">
        <f>SUM(H17:H22)</f>
        <v>17</v>
      </c>
      <c r="I23" s="21"/>
      <c r="J23" s="21"/>
      <c r="K23" s="21"/>
      <c r="L23" s="29">
        <f>SUM(L17:L22)</f>
        <v>583.99689137417113</v>
      </c>
      <c r="M23" s="17" t="s">
        <v>64</v>
      </c>
      <c r="N23" s="20">
        <f>SUM(N18:N22)</f>
        <v>823.65233183056193</v>
      </c>
    </row>
  </sheetData>
  <mergeCells count="2">
    <mergeCell ref="C3:C4"/>
    <mergeCell ref="C15:C16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B2:X36"/>
  <sheetViews>
    <sheetView tabSelected="1" workbookViewId="0">
      <selection activeCell="K9" sqref="K9"/>
    </sheetView>
  </sheetViews>
  <sheetFormatPr defaultRowHeight="14.4" x14ac:dyDescent="0.3"/>
  <cols>
    <col min="2" max="2" width="13.33203125" customWidth="1"/>
    <col min="9" max="9" width="12.33203125" customWidth="1"/>
    <col min="13" max="13" width="14.6640625" bestFit="1" customWidth="1"/>
    <col min="18" max="18" width="14.6640625" bestFit="1" customWidth="1"/>
    <col min="22" max="22" width="13.6640625" bestFit="1" customWidth="1"/>
    <col min="23" max="23" width="12.88671875" customWidth="1"/>
    <col min="24" max="24" width="13.33203125" customWidth="1"/>
  </cols>
  <sheetData>
    <row r="2" spans="2:24" ht="21" x14ac:dyDescent="0.4">
      <c r="I2" s="72" t="s">
        <v>48</v>
      </c>
      <c r="J2" s="72"/>
      <c r="K2" s="72"/>
      <c r="L2" s="72"/>
      <c r="M2" s="72"/>
      <c r="N2" s="72"/>
      <c r="O2" s="72"/>
      <c r="P2" s="72"/>
      <c r="Q2" s="72"/>
      <c r="R2" s="72"/>
    </row>
    <row r="3" spans="2:24" x14ac:dyDescent="0.3">
      <c r="B3" s="70" t="s">
        <v>4</v>
      </c>
      <c r="C3" s="73"/>
      <c r="D3" s="71"/>
      <c r="L3" s="2"/>
    </row>
    <row r="4" spans="2:24" x14ac:dyDescent="0.3">
      <c r="B4" s="5" t="s">
        <v>0</v>
      </c>
      <c r="C4" s="8">
        <f>F5/1000</f>
        <v>0.215</v>
      </c>
      <c r="D4" s="6" t="s">
        <v>1</v>
      </c>
      <c r="F4">
        <v>107.5</v>
      </c>
    </row>
    <row r="5" spans="2:24" ht="16.2" x14ac:dyDescent="0.35">
      <c r="B5" s="5" t="s">
        <v>2</v>
      </c>
      <c r="C5" s="6">
        <v>773</v>
      </c>
      <c r="D5" s="6" t="s">
        <v>3</v>
      </c>
      <c r="F5">
        <f>F4*2</f>
        <v>215</v>
      </c>
      <c r="I5" s="13" t="s">
        <v>45</v>
      </c>
      <c r="J5" s="14" t="s">
        <v>46</v>
      </c>
      <c r="N5" s="3" t="s">
        <v>30</v>
      </c>
      <c r="O5" s="68" t="s">
        <v>38</v>
      </c>
      <c r="P5" s="68"/>
      <c r="Q5" s="68"/>
      <c r="R5" s="68"/>
    </row>
    <row r="6" spans="2:24" ht="15.6" x14ac:dyDescent="0.35">
      <c r="B6" s="5" t="s">
        <v>116</v>
      </c>
      <c r="C6" s="6">
        <v>200000</v>
      </c>
      <c r="D6" s="6" t="s">
        <v>40</v>
      </c>
      <c r="I6" s="5" t="s">
        <v>41</v>
      </c>
      <c r="J6" s="24">
        <v>0.8</v>
      </c>
      <c r="N6" s="3" t="s">
        <v>16</v>
      </c>
      <c r="O6" s="68" t="s">
        <v>28</v>
      </c>
      <c r="P6" s="68"/>
      <c r="Q6" s="68"/>
      <c r="R6" s="68"/>
    </row>
    <row r="7" spans="2:24" ht="15.6" x14ac:dyDescent="0.35">
      <c r="I7" s="5" t="s">
        <v>42</v>
      </c>
      <c r="J7" s="24">
        <v>0.96</v>
      </c>
      <c r="N7" s="3" t="s">
        <v>15</v>
      </c>
      <c r="O7" s="68" t="s">
        <v>14</v>
      </c>
      <c r="P7" s="68"/>
      <c r="Q7" s="68"/>
      <c r="R7" s="68"/>
      <c r="U7">
        <f>(C13*C11^2)/(C10^2-C11^2)</f>
        <v>148.47970457244656</v>
      </c>
    </row>
    <row r="8" spans="2:24" ht="15.6" x14ac:dyDescent="0.3">
      <c r="B8" s="13" t="s">
        <v>5</v>
      </c>
      <c r="C8" s="70" t="s">
        <v>88</v>
      </c>
      <c r="D8" s="71"/>
      <c r="I8" s="5" t="s">
        <v>43</v>
      </c>
      <c r="J8" s="24">
        <v>1</v>
      </c>
      <c r="N8" s="4" t="s">
        <v>29</v>
      </c>
      <c r="O8" s="68" t="s">
        <v>37</v>
      </c>
      <c r="P8" s="68"/>
      <c r="Q8" s="68"/>
      <c r="R8" s="68"/>
    </row>
    <row r="9" spans="2:24" ht="15.6" x14ac:dyDescent="0.35">
      <c r="B9" s="5" t="s">
        <v>39</v>
      </c>
      <c r="C9" s="6">
        <v>620</v>
      </c>
      <c r="D9" s="6" t="s">
        <v>40</v>
      </c>
      <c r="E9" s="12"/>
      <c r="I9" s="5" t="s">
        <v>44</v>
      </c>
      <c r="J9" s="24">
        <v>1</v>
      </c>
      <c r="N9" s="4" t="s">
        <v>31</v>
      </c>
      <c r="O9" s="68" t="s">
        <v>36</v>
      </c>
      <c r="P9" s="68"/>
      <c r="Q9" s="68"/>
      <c r="R9" s="68"/>
    </row>
    <row r="10" spans="2:24" ht="14.4" customHeight="1" x14ac:dyDescent="0.3">
      <c r="B10" s="5" t="s">
        <v>0</v>
      </c>
      <c r="C10" s="7">
        <f>C11+2*C12</f>
        <v>4.6100000000000002E-2</v>
      </c>
      <c r="D10" s="6" t="s">
        <v>1</v>
      </c>
      <c r="N10" s="4" t="s">
        <v>32</v>
      </c>
      <c r="O10" s="68" t="s">
        <v>35</v>
      </c>
      <c r="P10" s="68"/>
      <c r="Q10" s="68"/>
      <c r="R10" s="68"/>
    </row>
    <row r="11" spans="2:24" ht="15.6" x14ac:dyDescent="0.3">
      <c r="B11" s="5" t="s">
        <v>6</v>
      </c>
      <c r="C11" s="7">
        <f>38.1/1000</f>
        <v>3.8100000000000002E-2</v>
      </c>
      <c r="D11" s="6" t="s">
        <v>1</v>
      </c>
      <c r="E11" s="23"/>
      <c r="F11" s="23"/>
      <c r="G11" t="s">
        <v>117</v>
      </c>
      <c r="N11" s="4" t="s">
        <v>33</v>
      </c>
      <c r="O11" s="68" t="s">
        <v>34</v>
      </c>
      <c r="P11" s="68"/>
      <c r="Q11" s="68"/>
      <c r="R11" s="68"/>
    </row>
    <row r="12" spans="2:24" x14ac:dyDescent="0.3">
      <c r="B12" s="5" t="s">
        <v>7</v>
      </c>
      <c r="C12" s="7">
        <f>4/1000</f>
        <v>4.0000000000000001E-3</v>
      </c>
      <c r="D12" s="6" t="s">
        <v>1</v>
      </c>
      <c r="E12" s="23"/>
      <c r="F12" s="23"/>
      <c r="H12">
        <v>917.41302490199996</v>
      </c>
      <c r="I12">
        <v>1.11936273669476E-2</v>
      </c>
      <c r="N12" s="2"/>
    </row>
    <row r="13" spans="2:24" ht="15.6" x14ac:dyDescent="0.35">
      <c r="B13" s="5" t="s">
        <v>49</v>
      </c>
      <c r="C13" s="6">
        <v>68.900000000000006</v>
      </c>
      <c r="D13" s="6" t="s">
        <v>40</v>
      </c>
    </row>
    <row r="14" spans="2:24" ht="15.6" x14ac:dyDescent="0.35">
      <c r="B14" s="5" t="s">
        <v>50</v>
      </c>
      <c r="C14" s="11">
        <v>0</v>
      </c>
      <c r="D14" s="6" t="s">
        <v>40</v>
      </c>
    </row>
    <row r="15" spans="2:24" ht="15.6" customHeight="1" x14ac:dyDescent="0.3">
      <c r="G15" s="69" t="s">
        <v>8</v>
      </c>
      <c r="H15" s="69" t="s">
        <v>9</v>
      </c>
      <c r="I15" s="69" t="s">
        <v>10</v>
      </c>
      <c r="J15" s="69" t="s">
        <v>15</v>
      </c>
      <c r="K15" s="69" t="s">
        <v>16</v>
      </c>
      <c r="L15" s="69" t="s">
        <v>51</v>
      </c>
      <c r="M15" s="69"/>
      <c r="N15" s="69"/>
      <c r="O15" s="69"/>
      <c r="P15" s="69"/>
      <c r="Q15" s="69" t="s">
        <v>52</v>
      </c>
      <c r="R15" s="69"/>
      <c r="S15" s="69"/>
      <c r="T15" s="69"/>
      <c r="U15" s="69"/>
      <c r="V15" s="63" t="s">
        <v>27</v>
      </c>
      <c r="W15" s="64" t="s">
        <v>74</v>
      </c>
      <c r="X15" s="67" t="s">
        <v>69</v>
      </c>
    </row>
    <row r="16" spans="2:24" ht="15.6" x14ac:dyDescent="0.3">
      <c r="B16" s="10" t="s">
        <v>53</v>
      </c>
      <c r="C16" s="6">
        <v>1790</v>
      </c>
      <c r="D16" s="15" t="s">
        <v>1</v>
      </c>
      <c r="G16" s="69"/>
      <c r="H16" s="69"/>
      <c r="I16" s="69"/>
      <c r="J16" s="69"/>
      <c r="K16" s="69"/>
      <c r="L16" s="27" t="s">
        <v>17</v>
      </c>
      <c r="M16" s="27" t="s">
        <v>18</v>
      </c>
      <c r="N16" s="27" t="s">
        <v>19</v>
      </c>
      <c r="O16" s="27" t="s">
        <v>20</v>
      </c>
      <c r="P16" s="27" t="s">
        <v>21</v>
      </c>
      <c r="Q16" s="27" t="s">
        <v>22</v>
      </c>
      <c r="R16" s="27" t="s">
        <v>23</v>
      </c>
      <c r="S16" s="27" t="s">
        <v>24</v>
      </c>
      <c r="T16" s="27" t="s">
        <v>25</v>
      </c>
      <c r="U16" s="27" t="s">
        <v>26</v>
      </c>
      <c r="V16" s="63"/>
      <c r="W16" s="64"/>
      <c r="X16" s="67"/>
    </row>
    <row r="17" spans="2:24" x14ac:dyDescent="0.3">
      <c r="B17" s="10" t="s">
        <v>45</v>
      </c>
      <c r="C17" s="65" t="s">
        <v>41</v>
      </c>
      <c r="D17" s="65"/>
      <c r="G17" s="69"/>
      <c r="H17" s="27" t="s">
        <v>13</v>
      </c>
      <c r="I17" s="27" t="s">
        <v>12</v>
      </c>
      <c r="J17" s="27" t="s">
        <v>11</v>
      </c>
      <c r="K17" s="27" t="s">
        <v>11</v>
      </c>
      <c r="L17" s="27" t="s">
        <v>11</v>
      </c>
      <c r="M17" s="27" t="s">
        <v>11</v>
      </c>
      <c r="N17" s="27" t="s">
        <v>11</v>
      </c>
      <c r="O17" s="27" t="s">
        <v>11</v>
      </c>
      <c r="P17" s="27" t="s">
        <v>11</v>
      </c>
      <c r="Q17" s="27" t="s">
        <v>11</v>
      </c>
      <c r="R17" s="27" t="s">
        <v>11</v>
      </c>
      <c r="S17" s="27" t="s">
        <v>11</v>
      </c>
      <c r="T17" s="27" t="s">
        <v>11</v>
      </c>
      <c r="U17" s="27" t="s">
        <v>11</v>
      </c>
      <c r="V17" s="27" t="s">
        <v>11</v>
      </c>
      <c r="W17" s="27" t="s">
        <v>47</v>
      </c>
      <c r="X17" s="27" t="s">
        <v>47</v>
      </c>
    </row>
    <row r="18" spans="2:24" ht="13.2" customHeight="1" x14ac:dyDescent="0.35">
      <c r="B18" s="9" t="s">
        <v>46</v>
      </c>
      <c r="C18" s="66">
        <v>1</v>
      </c>
      <c r="D18" s="66"/>
      <c r="F18">
        <f>1/I18</f>
        <v>1.11936273669476E-2</v>
      </c>
      <c r="G18" s="18">
        <v>1</v>
      </c>
      <c r="H18" s="6">
        <v>0</v>
      </c>
      <c r="I18" s="19">
        <f>1/I12</f>
        <v>89.336545448420694</v>
      </c>
      <c r="J18" s="1">
        <f>($C$13-$C$14)*($C$10-2*$C$12)^2/($C$10^2-($C$10-2*$C$12)^2)</f>
        <v>148.47970457244656</v>
      </c>
      <c r="K18" s="1">
        <f>$C$6*0.001*H18/$C$5</f>
        <v>0</v>
      </c>
      <c r="L18" s="1">
        <f>$C$6*((0.5*$C$11)/I18)</f>
        <v>42.647720268070366</v>
      </c>
      <c r="M18" s="50">
        <f>J18+K18+L18</f>
        <v>191.12742484051694</v>
      </c>
      <c r="N18" s="51">
        <f>($C$13-$C$14)*($C$10^2+($C$10-2*$C$12)^2)/($C$10^2-($C$10-2*$C$12)^2)-$C$14</f>
        <v>365.85940914489311</v>
      </c>
      <c r="O18" s="1">
        <f t="shared" ref="O18:O36" si="0">-$C$13</f>
        <v>-68.900000000000006</v>
      </c>
      <c r="P18" s="20">
        <f>SQRT((N18-M18)^2+(M18-O18)^2+(O18-N18)^2)/SQRT(2)</f>
        <v>378.9203556475635</v>
      </c>
      <c r="Q18" s="1">
        <f>$C$6*((0.5*$C$10)/I18)</f>
        <v>51.602622161628439</v>
      </c>
      <c r="R18" s="1">
        <f>J18+K18+Q18</f>
        <v>200.082326734075</v>
      </c>
      <c r="S18" s="1">
        <f>($C$13-$C$14)*(2*($C$10-2*$C$12)^2/($C$10^2-($C$10-2*$C$12)^2))-$C$14</f>
        <v>296.95940914489307</v>
      </c>
      <c r="T18" s="1">
        <f>-$C$14</f>
        <v>0</v>
      </c>
      <c r="U18" s="1">
        <f>SQRT((S18-R18)^2+(R18-T18)^2+(T18-S18)^2)/SQRT(2)</f>
        <v>262.30039768120594</v>
      </c>
      <c r="V18" s="60">
        <f>MAX(P18,U18)</f>
        <v>378.9203556475635</v>
      </c>
      <c r="W18" s="8">
        <f>V18/($C$9*$C$18)</f>
        <v>0.61116186394768302</v>
      </c>
      <c r="X18" s="19">
        <v>1</v>
      </c>
    </row>
    <row r="19" spans="2:24" x14ac:dyDescent="0.3">
      <c r="F19">
        <f t="shared" ref="F19:F36" si="1">1/I19</f>
        <v>7.7943322534733267E-2</v>
      </c>
      <c r="G19" s="52">
        <f>G18+1</f>
        <v>2</v>
      </c>
      <c r="H19" s="6">
        <v>100</v>
      </c>
      <c r="I19" s="53">
        <v>12.829835417323633</v>
      </c>
      <c r="J19" s="54">
        <f t="shared" ref="J19:J36" si="2">($C$13-$C$14)*($C$10-2*$C$12)^2/($C$10^2-($C$10-2*$C$12)^2)</f>
        <v>148.47970457244656</v>
      </c>
      <c r="K19" s="54">
        <f t="shared" ref="K19:K36" si="3">$C$6*0.001*H19/$C$5</f>
        <v>25.873221216041397</v>
      </c>
      <c r="L19" s="54">
        <f t="shared" ref="L19:L36" si="4">$C$6*((0.5*$C$11)/I19)</f>
        <v>296.96405885733373</v>
      </c>
      <c r="M19" s="54">
        <f t="shared" ref="M19:M36" si="5">J19+K19+L19</f>
        <v>471.31698464582166</v>
      </c>
      <c r="N19" s="54">
        <f t="shared" ref="N19:N36" si="6">($C$13-$C$14)*($C$10^2+($C$10-2*$C$12)^2)/($C$10^2-($C$10-2*$C$12)^2)-$C$14</f>
        <v>365.85940914489311</v>
      </c>
      <c r="O19" s="54">
        <f t="shared" si="0"/>
        <v>-68.900000000000006</v>
      </c>
      <c r="P19" s="55">
        <f t="shared" ref="P19:P36" si="7">SQRT((N19-M19)^2+(M19-O19)^2+(O19-N19)^2)/SQRT(2)</f>
        <v>495.96947213027863</v>
      </c>
      <c r="Q19" s="54">
        <f t="shared" ref="Q19:Q36" si="8">$C$6*((0.5*$C$10)/I19)</f>
        <v>359.31871688512035</v>
      </c>
      <c r="R19" s="59">
        <f t="shared" ref="R19:R36" si="9">J19+K19+Q19</f>
        <v>533.67164267360829</v>
      </c>
      <c r="S19" s="58">
        <f t="shared" ref="S19:S36" si="10">($C$13-$C$14)*(2*($C$10-2*$C$12)^2/($C$10^2-($C$10-2*$C$12)^2))-$C$14</f>
        <v>296.95940914489307</v>
      </c>
      <c r="T19" s="54">
        <f t="shared" ref="T19:T36" si="11">-$C$14</f>
        <v>0</v>
      </c>
      <c r="U19" s="54">
        <f t="shared" ref="U19:U36" si="12">SQRT((S19-R19)^2+(R19-T19)^2+(T19-S19)^2)/SQRT(2)</f>
        <v>463.15385908776807</v>
      </c>
      <c r="V19" s="56">
        <f t="shared" ref="V19:V36" si="13">MAX(P19,U19)</f>
        <v>495.96947213027863</v>
      </c>
      <c r="W19" s="57">
        <f t="shared" ref="W19:W28" si="14">V19/($C$9*$C$18)</f>
        <v>0.79995076150044941</v>
      </c>
      <c r="X19" s="53">
        <v>1</v>
      </c>
    </row>
    <row r="20" spans="2:24" x14ac:dyDescent="0.3">
      <c r="F20">
        <f t="shared" si="1"/>
        <v>7.1149904020857455E-2</v>
      </c>
      <c r="G20" s="18">
        <f t="shared" ref="G20:G36" si="15">G19+1</f>
        <v>3</v>
      </c>
      <c r="H20" s="6">
        <v>200</v>
      </c>
      <c r="I20" s="19">
        <v>14.054832733250798</v>
      </c>
      <c r="J20" s="1">
        <f t="shared" si="2"/>
        <v>148.47970457244656</v>
      </c>
      <c r="K20" s="1">
        <f t="shared" si="3"/>
        <v>51.746442432082794</v>
      </c>
      <c r="L20" s="1">
        <f t="shared" si="4"/>
        <v>271.08113431946691</v>
      </c>
      <c r="M20" s="1">
        <f t="shared" si="5"/>
        <v>471.30728132399628</v>
      </c>
      <c r="N20" s="1">
        <f t="shared" si="6"/>
        <v>365.85940914489311</v>
      </c>
      <c r="O20" s="1">
        <f t="shared" si="0"/>
        <v>-68.900000000000006</v>
      </c>
      <c r="P20" s="1">
        <f t="shared" si="7"/>
        <v>495.96315608247568</v>
      </c>
      <c r="Q20" s="1">
        <f t="shared" si="8"/>
        <v>328.00105753615293</v>
      </c>
      <c r="R20" s="1">
        <f t="shared" si="9"/>
        <v>528.22720454068235</v>
      </c>
      <c r="S20" s="1">
        <f t="shared" si="10"/>
        <v>296.95940914489307</v>
      </c>
      <c r="T20" s="1">
        <f t="shared" si="11"/>
        <v>0</v>
      </c>
      <c r="U20" s="1">
        <f t="shared" si="12"/>
        <v>458.63583782984978</v>
      </c>
      <c r="V20" s="11">
        <f t="shared" si="13"/>
        <v>495.96315608247568</v>
      </c>
      <c r="W20" s="8">
        <f t="shared" si="14"/>
        <v>0.79994057432657373</v>
      </c>
      <c r="X20" s="19">
        <v>1</v>
      </c>
    </row>
    <row r="21" spans="2:24" x14ac:dyDescent="0.3">
      <c r="F21">
        <f t="shared" si="1"/>
        <v>6.4353454008871408E-2</v>
      </c>
      <c r="G21" s="18">
        <f t="shared" si="15"/>
        <v>4</v>
      </c>
      <c r="H21" s="6">
        <v>300</v>
      </c>
      <c r="I21" s="19">
        <v>15.539181468987593</v>
      </c>
      <c r="J21" s="1">
        <f t="shared" si="2"/>
        <v>148.47970457244656</v>
      </c>
      <c r="K21" s="1">
        <f t="shared" si="3"/>
        <v>77.619663648124188</v>
      </c>
      <c r="L21" s="1">
        <f t="shared" si="4"/>
        <v>245.1866597738001</v>
      </c>
      <c r="M21" s="1">
        <f t="shared" si="5"/>
        <v>471.28602799437084</v>
      </c>
      <c r="N21" s="1">
        <f t="shared" si="6"/>
        <v>365.85940914489311</v>
      </c>
      <c r="O21" s="1">
        <f t="shared" si="0"/>
        <v>-68.900000000000006</v>
      </c>
      <c r="P21" s="1">
        <f t="shared" si="7"/>
        <v>495.94932233161927</v>
      </c>
      <c r="Q21" s="1">
        <f t="shared" si="8"/>
        <v>296.66942298089725</v>
      </c>
      <c r="R21" s="1">
        <f t="shared" si="9"/>
        <v>522.76879120146805</v>
      </c>
      <c r="S21" s="1">
        <f t="shared" si="10"/>
        <v>296.95940914489307</v>
      </c>
      <c r="T21" s="1">
        <f t="shared" si="11"/>
        <v>0</v>
      </c>
      <c r="U21" s="1">
        <f t="shared" si="12"/>
        <v>454.12662152680514</v>
      </c>
      <c r="V21" s="11">
        <f t="shared" si="13"/>
        <v>495.94932233161927</v>
      </c>
      <c r="W21" s="26">
        <f>V21/($C$9*$C$18)</f>
        <v>0.79991826182519232</v>
      </c>
      <c r="X21" s="19">
        <v>1</v>
      </c>
    </row>
    <row r="22" spans="2:24" x14ac:dyDescent="0.3">
      <c r="F22">
        <f t="shared" si="1"/>
        <v>5.7557064575981726E-2</v>
      </c>
      <c r="G22" s="18">
        <f t="shared" si="15"/>
        <v>5</v>
      </c>
      <c r="H22" s="6">
        <v>400</v>
      </c>
      <c r="I22" s="19">
        <v>17.374061852648666</v>
      </c>
      <c r="J22" s="1">
        <f t="shared" si="2"/>
        <v>148.47970457244656</v>
      </c>
      <c r="K22" s="1">
        <f t="shared" si="3"/>
        <v>103.49288486416559</v>
      </c>
      <c r="L22" s="1">
        <f t="shared" si="4"/>
        <v>219.29241603449037</v>
      </c>
      <c r="M22" s="1">
        <f t="shared" si="5"/>
        <v>471.26500547110254</v>
      </c>
      <c r="N22" s="1">
        <f t="shared" si="6"/>
        <v>365.85940914489311</v>
      </c>
      <c r="O22" s="1">
        <f t="shared" si="0"/>
        <v>-68.900000000000006</v>
      </c>
      <c r="P22" s="1">
        <f t="shared" si="7"/>
        <v>495.93563932858086</v>
      </c>
      <c r="Q22" s="1">
        <f t="shared" si="8"/>
        <v>265.33806769527575</v>
      </c>
      <c r="R22" s="1">
        <f t="shared" si="9"/>
        <v>517.31065713188787</v>
      </c>
      <c r="S22" s="1">
        <f t="shared" si="10"/>
        <v>296.95940914489307</v>
      </c>
      <c r="T22" s="1">
        <f t="shared" si="11"/>
        <v>0</v>
      </c>
      <c r="U22" s="1">
        <f t="shared" si="12"/>
        <v>449.63867669014843</v>
      </c>
      <c r="V22" s="11">
        <f t="shared" si="13"/>
        <v>495.93563932858086</v>
      </c>
      <c r="W22" s="26">
        <f t="shared" si="14"/>
        <v>0.79989619246545296</v>
      </c>
      <c r="X22" s="19">
        <v>1</v>
      </c>
    </row>
    <row r="23" spans="2:24" x14ac:dyDescent="0.3">
      <c r="F23">
        <f t="shared" si="1"/>
        <v>5.0758284281498083E-2</v>
      </c>
      <c r="G23" s="18">
        <f t="shared" si="15"/>
        <v>6</v>
      </c>
      <c r="H23" s="6">
        <v>500</v>
      </c>
      <c r="I23" s="19">
        <v>19.701217528436246</v>
      </c>
      <c r="J23" s="1">
        <f t="shared" si="2"/>
        <v>148.47970457244656</v>
      </c>
      <c r="K23" s="1">
        <f t="shared" si="3"/>
        <v>129.36610608020698</v>
      </c>
      <c r="L23" s="1">
        <f t="shared" si="4"/>
        <v>193.3890631125077</v>
      </c>
      <c r="M23" s="1">
        <f t="shared" si="5"/>
        <v>471.23487376516124</v>
      </c>
      <c r="N23" s="1">
        <f t="shared" si="6"/>
        <v>365.85940914489311</v>
      </c>
      <c r="O23" s="1">
        <f t="shared" si="0"/>
        <v>-68.900000000000006</v>
      </c>
      <c r="P23" s="1">
        <f t="shared" si="7"/>
        <v>495.91602829574919</v>
      </c>
      <c r="Q23" s="1">
        <f t="shared" si="8"/>
        <v>233.99569053770617</v>
      </c>
      <c r="R23" s="1">
        <f t="shared" si="9"/>
        <v>511.84150119035974</v>
      </c>
      <c r="S23" s="1">
        <f t="shared" si="10"/>
        <v>296.95940914489307</v>
      </c>
      <c r="T23" s="1">
        <f t="shared" si="11"/>
        <v>0</v>
      </c>
      <c r="U23" s="1">
        <f t="shared" si="12"/>
        <v>445.16341185137918</v>
      </c>
      <c r="V23" s="11">
        <f t="shared" si="13"/>
        <v>495.91602829574919</v>
      </c>
      <c r="W23" s="26">
        <f t="shared" si="14"/>
        <v>0.79986456176733745</v>
      </c>
      <c r="X23" s="19">
        <v>1</v>
      </c>
    </row>
    <row r="24" spans="2:24" x14ac:dyDescent="0.3">
      <c r="F24">
        <f t="shared" si="1"/>
        <v>4.3955550359793163E-2</v>
      </c>
      <c r="G24" s="18">
        <f t="shared" si="15"/>
        <v>7</v>
      </c>
      <c r="H24" s="6">
        <v>600</v>
      </c>
      <c r="I24" s="19">
        <v>22.750255469778303</v>
      </c>
      <c r="J24" s="1">
        <f t="shared" si="2"/>
        <v>148.47970457244656</v>
      </c>
      <c r="K24" s="1">
        <f t="shared" si="3"/>
        <v>155.23932729624838</v>
      </c>
      <c r="L24" s="1">
        <f t="shared" si="4"/>
        <v>167.47064687081195</v>
      </c>
      <c r="M24" s="1">
        <f t="shared" si="5"/>
        <v>471.18967873950692</v>
      </c>
      <c r="N24" s="1">
        <f t="shared" si="6"/>
        <v>365.85940914489311</v>
      </c>
      <c r="O24" s="1">
        <f t="shared" si="0"/>
        <v>-68.900000000000006</v>
      </c>
      <c r="P24" s="1">
        <f t="shared" si="7"/>
        <v>495.88661537383439</v>
      </c>
      <c r="Q24" s="1">
        <f t="shared" si="8"/>
        <v>202.63508715864651</v>
      </c>
      <c r="R24" s="1">
        <f t="shared" si="9"/>
        <v>506.35411902734148</v>
      </c>
      <c r="S24" s="1">
        <f t="shared" si="10"/>
        <v>296.95940914489307</v>
      </c>
      <c r="T24" s="1">
        <f t="shared" si="11"/>
        <v>0</v>
      </c>
      <c r="U24" s="1">
        <f t="shared" si="12"/>
        <v>440.69577321684955</v>
      </c>
      <c r="V24" s="11">
        <f t="shared" si="13"/>
        <v>495.88661537383439</v>
      </c>
      <c r="W24" s="26">
        <f t="shared" si="14"/>
        <v>0.79981712157070062</v>
      </c>
      <c r="X24" s="19">
        <v>1</v>
      </c>
    </row>
    <row r="25" spans="2:24" x14ac:dyDescent="0.3">
      <c r="F25">
        <f t="shared" si="1"/>
        <v>1.686340925183967E-2</v>
      </c>
      <c r="G25" s="18">
        <f t="shared" si="15"/>
        <v>8</v>
      </c>
      <c r="H25" s="6">
        <v>700</v>
      </c>
      <c r="I25" s="19">
        <v>59.299990000000001</v>
      </c>
      <c r="J25" s="1">
        <f t="shared" si="2"/>
        <v>148.47970457244656</v>
      </c>
      <c r="K25" s="1">
        <f t="shared" si="3"/>
        <v>181.11254851228978</v>
      </c>
      <c r="L25" s="1">
        <f t="shared" si="4"/>
        <v>64.249589249509143</v>
      </c>
      <c r="M25" s="1">
        <f t="shared" si="5"/>
        <v>393.84184233424548</v>
      </c>
      <c r="N25" s="1">
        <f t="shared" si="6"/>
        <v>365.85940914489311</v>
      </c>
      <c r="O25" s="1">
        <f t="shared" si="0"/>
        <v>-68.900000000000006</v>
      </c>
      <c r="P25" s="1">
        <f t="shared" si="7"/>
        <v>449.40447986980769</v>
      </c>
      <c r="Q25" s="1">
        <f t="shared" si="8"/>
        <v>77.740316650980887</v>
      </c>
      <c r="R25" s="1">
        <f t="shared" si="9"/>
        <v>407.33256973571724</v>
      </c>
      <c r="S25" s="1">
        <f t="shared" si="10"/>
        <v>296.95940914489307</v>
      </c>
      <c r="T25" s="1">
        <f t="shared" si="11"/>
        <v>0</v>
      </c>
      <c r="U25" s="1">
        <f t="shared" si="12"/>
        <v>364.88830320112675</v>
      </c>
      <c r="V25" s="11">
        <f t="shared" si="13"/>
        <v>449.40447986980769</v>
      </c>
      <c r="W25" s="26">
        <f t="shared" si="14"/>
        <v>0.72484593527388341</v>
      </c>
      <c r="X25" s="19">
        <v>1</v>
      </c>
    </row>
    <row r="26" spans="2:24" x14ac:dyDescent="0.3">
      <c r="F26">
        <f t="shared" si="1"/>
        <v>3.0505736495715832E-2</v>
      </c>
      <c r="G26" s="18">
        <f t="shared" si="15"/>
        <v>9</v>
      </c>
      <c r="H26" s="6">
        <v>800</v>
      </c>
      <c r="I26" s="19">
        <v>32.780719788241733</v>
      </c>
      <c r="J26" s="1">
        <f t="shared" si="2"/>
        <v>148.47970457244656</v>
      </c>
      <c r="K26" s="1">
        <f t="shared" si="3"/>
        <v>206.98576972833118</v>
      </c>
      <c r="L26" s="1">
        <f t="shared" si="4"/>
        <v>116.22685604867732</v>
      </c>
      <c r="M26" s="1">
        <f t="shared" si="5"/>
        <v>471.69233034945501</v>
      </c>
      <c r="N26" s="1">
        <f t="shared" si="6"/>
        <v>365.85940914489311</v>
      </c>
      <c r="O26" s="1">
        <f t="shared" si="0"/>
        <v>-68.900000000000006</v>
      </c>
      <c r="P26" s="1">
        <f t="shared" si="7"/>
        <v>496.21387459610685</v>
      </c>
      <c r="Q26" s="1">
        <f t="shared" si="8"/>
        <v>140.63144524525001</v>
      </c>
      <c r="R26" s="1">
        <f t="shared" si="9"/>
        <v>496.09691954602772</v>
      </c>
      <c r="S26" s="1">
        <f t="shared" si="10"/>
        <v>296.95940914489307</v>
      </c>
      <c r="T26" s="1">
        <f t="shared" si="11"/>
        <v>0</v>
      </c>
      <c r="U26" s="1">
        <f t="shared" si="12"/>
        <v>432.40767356252127</v>
      </c>
      <c r="V26" s="11">
        <f t="shared" si="13"/>
        <v>496.21387459610685</v>
      </c>
      <c r="W26" s="26">
        <f t="shared" si="14"/>
        <v>0.8003449590259788</v>
      </c>
      <c r="X26" s="19">
        <v>1</v>
      </c>
    </row>
    <row r="27" spans="2:24" x14ac:dyDescent="0.3">
      <c r="F27">
        <f t="shared" si="1"/>
        <v>2.3601707019745032E-2</v>
      </c>
      <c r="G27" s="18">
        <f t="shared" si="15"/>
        <v>10</v>
      </c>
      <c r="H27" s="6">
        <v>900</v>
      </c>
      <c r="I27" s="19">
        <v>42.369816690098162</v>
      </c>
      <c r="J27" s="1">
        <f t="shared" si="2"/>
        <v>148.47970457244656</v>
      </c>
      <c r="K27" s="1">
        <f t="shared" si="3"/>
        <v>232.85899094437258</v>
      </c>
      <c r="L27" s="1">
        <f t="shared" si="4"/>
        <v>89.922503745228582</v>
      </c>
      <c r="M27" s="1">
        <f t="shared" si="5"/>
        <v>471.26119926204774</v>
      </c>
      <c r="N27" s="1">
        <f t="shared" si="6"/>
        <v>365.85940914489311</v>
      </c>
      <c r="O27" s="1">
        <f t="shared" si="0"/>
        <v>-68.900000000000006</v>
      </c>
      <c r="P27" s="1">
        <f t="shared" si="7"/>
        <v>495.93316202293369</v>
      </c>
      <c r="Q27" s="1">
        <f t="shared" si="8"/>
        <v>108.8038693610246</v>
      </c>
      <c r="R27" s="1">
        <f t="shared" si="9"/>
        <v>490.14256487784371</v>
      </c>
      <c r="S27" s="1">
        <f t="shared" si="10"/>
        <v>296.95940914489307</v>
      </c>
      <c r="T27" s="1">
        <f t="shared" si="11"/>
        <v>0</v>
      </c>
      <c r="U27" s="1">
        <f t="shared" si="12"/>
        <v>427.63556695138016</v>
      </c>
      <c r="V27" s="11">
        <f t="shared" si="13"/>
        <v>495.93316202293369</v>
      </c>
      <c r="W27" s="26">
        <f t="shared" si="14"/>
        <v>0.7998921968111834</v>
      </c>
      <c r="X27" s="19">
        <v>1</v>
      </c>
    </row>
    <row r="28" spans="2:24" x14ac:dyDescent="0.3">
      <c r="F28">
        <f t="shared" si="1"/>
        <v>1.6676702581502376E-2</v>
      </c>
      <c r="G28" s="18">
        <f t="shared" si="15"/>
        <v>11</v>
      </c>
      <c r="H28" s="6">
        <v>1000</v>
      </c>
      <c r="I28" s="19">
        <v>59.96389244892989</v>
      </c>
      <c r="J28" s="1">
        <f t="shared" si="2"/>
        <v>148.47970457244656</v>
      </c>
      <c r="K28" s="1">
        <f t="shared" si="3"/>
        <v>258.73221216041395</v>
      </c>
      <c r="L28" s="1">
        <f t="shared" si="4"/>
        <v>63.53823683552406</v>
      </c>
      <c r="M28" s="1">
        <f t="shared" si="5"/>
        <v>470.75015356838458</v>
      </c>
      <c r="N28" s="1">
        <f t="shared" si="6"/>
        <v>365.85940914489311</v>
      </c>
      <c r="O28" s="1">
        <f t="shared" si="0"/>
        <v>-68.900000000000006</v>
      </c>
      <c r="P28" s="1">
        <f t="shared" si="7"/>
        <v>495.60069630303775</v>
      </c>
      <c r="Q28" s="1">
        <f t="shared" si="8"/>
        <v>76.879598900725966</v>
      </c>
      <c r="R28" s="1">
        <f t="shared" si="9"/>
        <v>484.09151563358648</v>
      </c>
      <c r="S28" s="1">
        <f t="shared" si="10"/>
        <v>296.95940914489307</v>
      </c>
      <c r="T28" s="1">
        <f t="shared" si="11"/>
        <v>0</v>
      </c>
      <c r="U28" s="1">
        <f t="shared" si="12"/>
        <v>422.8166928274016</v>
      </c>
      <c r="V28" s="11">
        <f t="shared" si="13"/>
        <v>495.60069630303775</v>
      </c>
      <c r="W28" s="26">
        <f t="shared" si="14"/>
        <v>0.79935596177909318</v>
      </c>
      <c r="X28" s="19">
        <v>1</v>
      </c>
    </row>
    <row r="29" spans="2:24" x14ac:dyDescent="0.3">
      <c r="F29">
        <f t="shared" si="1"/>
        <v>9.9363684230875347E-3</v>
      </c>
      <c r="G29" s="18">
        <f t="shared" si="15"/>
        <v>12</v>
      </c>
      <c r="H29" s="6">
        <v>1100</v>
      </c>
      <c r="I29" s="19">
        <v>100.64039067597992</v>
      </c>
      <c r="J29" s="1">
        <f t="shared" si="2"/>
        <v>148.47970457244656</v>
      </c>
      <c r="K29" s="1">
        <f t="shared" si="3"/>
        <v>284.60543337645538</v>
      </c>
      <c r="L29" s="1">
        <f t="shared" si="4"/>
        <v>37.857563691963513</v>
      </c>
      <c r="M29" s="1">
        <f t="shared" si="5"/>
        <v>470.94270164086544</v>
      </c>
      <c r="N29" s="1">
        <f t="shared" si="6"/>
        <v>365.85940914489311</v>
      </c>
      <c r="O29" s="1">
        <f t="shared" si="0"/>
        <v>-68.900000000000006</v>
      </c>
      <c r="P29" s="1">
        <f t="shared" si="7"/>
        <v>495.72592463816085</v>
      </c>
      <c r="Q29" s="1">
        <f t="shared" si="8"/>
        <v>45.806658430433536</v>
      </c>
      <c r="R29" s="1">
        <f t="shared" si="9"/>
        <v>478.89179637933546</v>
      </c>
      <c r="S29" s="1">
        <f t="shared" si="10"/>
        <v>296.95940914489307</v>
      </c>
      <c r="T29" s="1">
        <f t="shared" si="11"/>
        <v>0</v>
      </c>
      <c r="U29" s="1">
        <f t="shared" si="12"/>
        <v>418.7013475282435</v>
      </c>
      <c r="V29" s="11">
        <f t="shared" si="13"/>
        <v>495.72592463816085</v>
      </c>
      <c r="W29" s="34">
        <f t="shared" ref="W29:W36" si="16">V29/($C$9*$C$18)</f>
        <v>0.79955794296477556</v>
      </c>
      <c r="X29" s="19">
        <v>1</v>
      </c>
    </row>
    <row r="30" spans="2:24" x14ac:dyDescent="0.3">
      <c r="F30">
        <f t="shared" si="1"/>
        <v>3.3528688948615461E-3</v>
      </c>
      <c r="G30" s="18">
        <f t="shared" si="15"/>
        <v>13</v>
      </c>
      <c r="H30" s="6">
        <v>1200</v>
      </c>
      <c r="I30" s="19">
        <v>298.2520436550783</v>
      </c>
      <c r="J30" s="1">
        <f t="shared" si="2"/>
        <v>148.47970457244656</v>
      </c>
      <c r="K30" s="1">
        <f t="shared" si="3"/>
        <v>310.47865459249675</v>
      </c>
      <c r="L30" s="1">
        <f t="shared" si="4"/>
        <v>12.774430489422491</v>
      </c>
      <c r="M30" s="1">
        <f t="shared" si="5"/>
        <v>471.73278965436583</v>
      </c>
      <c r="N30" s="1">
        <f t="shared" si="6"/>
        <v>365.85940914489311</v>
      </c>
      <c r="O30" s="1">
        <f t="shared" si="0"/>
        <v>-68.900000000000006</v>
      </c>
      <c r="P30" s="1">
        <f t="shared" si="7"/>
        <v>496.2402290171475</v>
      </c>
      <c r="Q30" s="1">
        <f t="shared" si="8"/>
        <v>15.456725605311728</v>
      </c>
      <c r="R30" s="1">
        <f t="shared" si="9"/>
        <v>474.41508477025502</v>
      </c>
      <c r="S30" s="1">
        <f t="shared" si="10"/>
        <v>296.95940914489307</v>
      </c>
      <c r="T30" s="1">
        <f t="shared" si="11"/>
        <v>0</v>
      </c>
      <c r="U30" s="1">
        <f t="shared" si="12"/>
        <v>415.17772107189586</v>
      </c>
      <c r="V30" s="11">
        <f t="shared" si="13"/>
        <v>496.2402290171475</v>
      </c>
      <c r="W30" s="34">
        <f t="shared" si="16"/>
        <v>0.80038746615668954</v>
      </c>
      <c r="X30" s="19">
        <v>1</v>
      </c>
    </row>
    <row r="31" spans="2:24" x14ac:dyDescent="0.3">
      <c r="F31">
        <f t="shared" si="1"/>
        <v>1.0520515459295204E-23</v>
      </c>
      <c r="G31" s="18">
        <f t="shared" si="15"/>
        <v>14</v>
      </c>
      <c r="H31" s="6">
        <f t="shared" ref="H20:H36" si="17">H30+100</f>
        <v>1300</v>
      </c>
      <c r="I31" s="19">
        <v>9.5052376841143152E+22</v>
      </c>
      <c r="J31" s="1">
        <f t="shared" si="2"/>
        <v>148.47970457244656</v>
      </c>
      <c r="K31" s="1">
        <f t="shared" si="3"/>
        <v>336.35187580853818</v>
      </c>
      <c r="L31" s="1">
        <f t="shared" si="4"/>
        <v>4.0083163899914732E-20</v>
      </c>
      <c r="M31" s="1">
        <f t="shared" si="5"/>
        <v>484.83158038098475</v>
      </c>
      <c r="N31" s="1">
        <f t="shared" si="6"/>
        <v>365.85940914489311</v>
      </c>
      <c r="O31" s="1">
        <f t="shared" si="0"/>
        <v>-68.900000000000006</v>
      </c>
      <c r="P31" s="1">
        <f t="shared" si="7"/>
        <v>504.87066882513056</v>
      </c>
      <c r="Q31" s="1">
        <f t="shared" si="8"/>
        <v>4.8499576267350897E-20</v>
      </c>
      <c r="R31" s="1">
        <f t="shared" si="9"/>
        <v>484.83158038098475</v>
      </c>
      <c r="S31" s="1">
        <f t="shared" si="10"/>
        <v>296.95940914489307</v>
      </c>
      <c r="T31" s="1">
        <f t="shared" si="11"/>
        <v>0</v>
      </c>
      <c r="U31" s="1">
        <f t="shared" si="12"/>
        <v>423.40436035743102</v>
      </c>
      <c r="V31" s="11">
        <f t="shared" si="13"/>
        <v>504.87066882513056</v>
      </c>
      <c r="W31" s="34">
        <f t="shared" si="16"/>
        <v>0.81430753036311376</v>
      </c>
      <c r="X31" s="19">
        <v>1</v>
      </c>
    </row>
    <row r="32" spans="2:24" x14ac:dyDescent="0.3">
      <c r="F32">
        <f t="shared" si="1"/>
        <v>2.6301346652356321E-24</v>
      </c>
      <c r="G32" s="18">
        <f t="shared" si="15"/>
        <v>15</v>
      </c>
      <c r="H32" s="6">
        <f t="shared" si="17"/>
        <v>1400</v>
      </c>
      <c r="I32" s="19">
        <v>3.802086688631248E+23</v>
      </c>
      <c r="J32" s="1">
        <f t="shared" si="2"/>
        <v>148.47970457244656</v>
      </c>
      <c r="K32" s="1">
        <f t="shared" si="3"/>
        <v>362.22509702457955</v>
      </c>
      <c r="L32" s="1">
        <f t="shared" si="4"/>
        <v>1.0020813074547759E-20</v>
      </c>
      <c r="M32" s="1">
        <f t="shared" si="5"/>
        <v>510.70480159702612</v>
      </c>
      <c r="N32" s="1">
        <f t="shared" si="6"/>
        <v>365.85940914489311</v>
      </c>
      <c r="O32" s="1">
        <f t="shared" si="0"/>
        <v>-68.900000000000006</v>
      </c>
      <c r="P32" s="1">
        <f t="shared" si="7"/>
        <v>522.46418900674757</v>
      </c>
      <c r="Q32" s="1">
        <f t="shared" si="8"/>
        <v>1.2124920806736264E-20</v>
      </c>
      <c r="R32" s="1">
        <f t="shared" si="9"/>
        <v>510.70480159702612</v>
      </c>
      <c r="S32" s="1">
        <f t="shared" si="10"/>
        <v>296.95940914489307</v>
      </c>
      <c r="T32" s="1">
        <f t="shared" si="11"/>
        <v>0</v>
      </c>
      <c r="U32" s="1">
        <f t="shared" si="12"/>
        <v>444.23607341618379</v>
      </c>
      <c r="V32" s="11">
        <f t="shared" si="13"/>
        <v>522.46418900674757</v>
      </c>
      <c r="W32" s="34">
        <f t="shared" si="16"/>
        <v>0.84268417581733479</v>
      </c>
      <c r="X32" s="19">
        <v>1</v>
      </c>
    </row>
    <row r="33" spans="6:24" x14ac:dyDescent="0.3">
      <c r="F33">
        <f t="shared" si="1"/>
        <v>1.4708775330166415E-17</v>
      </c>
      <c r="G33" s="18">
        <f t="shared" si="15"/>
        <v>16</v>
      </c>
      <c r="H33" s="6">
        <f t="shared" si="17"/>
        <v>1500</v>
      </c>
      <c r="I33" s="19">
        <v>6.7986625504374064E+16</v>
      </c>
      <c r="J33" s="1">
        <f t="shared" si="2"/>
        <v>148.47970457244656</v>
      </c>
      <c r="K33" s="1">
        <f t="shared" si="3"/>
        <v>388.09831824062098</v>
      </c>
      <c r="L33" s="1">
        <f t="shared" si="4"/>
        <v>5.6040434007934045E-14</v>
      </c>
      <c r="M33" s="1">
        <f t="shared" si="5"/>
        <v>536.57802281306749</v>
      </c>
      <c r="N33" s="1">
        <f t="shared" si="6"/>
        <v>365.85940914489311</v>
      </c>
      <c r="O33" s="1">
        <f t="shared" si="0"/>
        <v>-68.900000000000006</v>
      </c>
      <c r="P33" s="1">
        <f t="shared" si="7"/>
        <v>540.72369330482513</v>
      </c>
      <c r="Q33" s="1">
        <f t="shared" si="8"/>
        <v>6.7807454272067165E-14</v>
      </c>
      <c r="R33" s="1">
        <f t="shared" si="9"/>
        <v>536.57802281306761</v>
      </c>
      <c r="S33" s="1">
        <f t="shared" si="10"/>
        <v>296.95940914489307</v>
      </c>
      <c r="T33" s="1">
        <f t="shared" si="11"/>
        <v>0</v>
      </c>
      <c r="U33" s="1">
        <f t="shared" si="12"/>
        <v>465.57381007844651</v>
      </c>
      <c r="V33" s="11">
        <f t="shared" si="13"/>
        <v>540.72369330482513</v>
      </c>
      <c r="W33" s="34">
        <f t="shared" si="16"/>
        <v>0.87213498920133081</v>
      </c>
      <c r="X33" s="19">
        <v>1</v>
      </c>
    </row>
    <row r="34" spans="6:24" x14ac:dyDescent="0.3">
      <c r="F34">
        <f t="shared" si="1"/>
        <v>1.4708775330166415E-17</v>
      </c>
      <c r="G34" s="18">
        <f t="shared" si="15"/>
        <v>17</v>
      </c>
      <c r="H34" s="6">
        <f t="shared" si="17"/>
        <v>1600</v>
      </c>
      <c r="I34" s="19">
        <v>6.7986625504374056E+16</v>
      </c>
      <c r="J34" s="1">
        <f t="shared" si="2"/>
        <v>148.47970457244656</v>
      </c>
      <c r="K34" s="1">
        <f t="shared" si="3"/>
        <v>413.97153945666236</v>
      </c>
      <c r="L34" s="1">
        <f t="shared" si="4"/>
        <v>5.6040434007934052E-14</v>
      </c>
      <c r="M34" s="1">
        <f t="shared" si="5"/>
        <v>562.45124402910892</v>
      </c>
      <c r="N34" s="1">
        <f t="shared" si="6"/>
        <v>365.85940914489311</v>
      </c>
      <c r="O34" s="1">
        <f t="shared" si="0"/>
        <v>-68.900000000000006</v>
      </c>
      <c r="P34" s="1">
        <f t="shared" si="7"/>
        <v>559.58399133653859</v>
      </c>
      <c r="Q34" s="1">
        <f t="shared" si="8"/>
        <v>6.7807454272067178E-14</v>
      </c>
      <c r="R34" s="1">
        <f t="shared" si="9"/>
        <v>562.45124402910903</v>
      </c>
      <c r="S34" s="1">
        <f t="shared" si="10"/>
        <v>296.95940914489307</v>
      </c>
      <c r="T34" s="1">
        <f t="shared" si="11"/>
        <v>0</v>
      </c>
      <c r="U34" s="1">
        <f t="shared" si="12"/>
        <v>487.35110904755521</v>
      </c>
      <c r="V34" s="11">
        <f t="shared" si="13"/>
        <v>559.58399133653859</v>
      </c>
      <c r="W34" s="34">
        <f t="shared" si="16"/>
        <v>0.90255482473635251</v>
      </c>
      <c r="X34" s="19">
        <v>1</v>
      </c>
    </row>
    <row r="35" spans="6:24" x14ac:dyDescent="0.3">
      <c r="F35">
        <f t="shared" si="1"/>
        <v>1.4708775330166415E-17</v>
      </c>
      <c r="G35" s="18">
        <f t="shared" si="15"/>
        <v>18</v>
      </c>
      <c r="H35" s="6">
        <f t="shared" si="17"/>
        <v>1700</v>
      </c>
      <c r="I35" s="19">
        <v>6.7986625504374064E+16</v>
      </c>
      <c r="J35" s="1">
        <f t="shared" si="2"/>
        <v>148.47970457244656</v>
      </c>
      <c r="K35" s="1">
        <f t="shared" si="3"/>
        <v>439.84476067270373</v>
      </c>
      <c r="L35" s="1">
        <f t="shared" si="4"/>
        <v>5.6040434007934045E-14</v>
      </c>
      <c r="M35" s="1">
        <f t="shared" si="5"/>
        <v>588.32446524515035</v>
      </c>
      <c r="N35" s="1">
        <f t="shared" si="6"/>
        <v>365.85940914489311</v>
      </c>
      <c r="O35" s="1">
        <f t="shared" si="0"/>
        <v>-68.900000000000006</v>
      </c>
      <c r="P35" s="1">
        <f t="shared" si="7"/>
        <v>578.9863740808072</v>
      </c>
      <c r="Q35" s="1">
        <f t="shared" si="8"/>
        <v>6.7807454272067165E-14</v>
      </c>
      <c r="R35" s="1">
        <f t="shared" si="9"/>
        <v>588.32446524515046</v>
      </c>
      <c r="S35" s="1">
        <f t="shared" si="10"/>
        <v>296.95940914489307</v>
      </c>
      <c r="T35" s="1">
        <f t="shared" si="11"/>
        <v>0</v>
      </c>
      <c r="U35" s="1">
        <f t="shared" si="12"/>
        <v>509.51161076170888</v>
      </c>
      <c r="V35" s="11">
        <f t="shared" si="13"/>
        <v>578.9863740808072</v>
      </c>
      <c r="W35" s="34">
        <f t="shared" si="16"/>
        <v>0.93384899045291481</v>
      </c>
      <c r="X35" s="19">
        <v>1</v>
      </c>
    </row>
    <row r="36" spans="6:24" x14ac:dyDescent="0.3">
      <c r="F36">
        <f t="shared" si="1"/>
        <v>1.4708775330166415E-17</v>
      </c>
      <c r="G36" s="18">
        <f t="shared" si="15"/>
        <v>19</v>
      </c>
      <c r="H36" s="6">
        <f t="shared" si="17"/>
        <v>1800</v>
      </c>
      <c r="I36" s="19">
        <v>6.7986625504374064E+16</v>
      </c>
      <c r="J36" s="1">
        <f t="shared" si="2"/>
        <v>148.47970457244656</v>
      </c>
      <c r="K36" s="1">
        <f t="shared" si="3"/>
        <v>465.71798188874516</v>
      </c>
      <c r="L36" s="1">
        <f t="shared" si="4"/>
        <v>5.6040434007934045E-14</v>
      </c>
      <c r="M36" s="1">
        <f t="shared" si="5"/>
        <v>614.19768646119178</v>
      </c>
      <c r="N36" s="1">
        <f t="shared" si="6"/>
        <v>365.85940914489311</v>
      </c>
      <c r="O36" s="1">
        <f t="shared" si="0"/>
        <v>-68.900000000000006</v>
      </c>
      <c r="P36" s="1">
        <f t="shared" si="7"/>
        <v>598.87815666839776</v>
      </c>
      <c r="Q36" s="1">
        <f t="shared" si="8"/>
        <v>6.7807454272067165E-14</v>
      </c>
      <c r="R36" s="1">
        <f t="shared" si="9"/>
        <v>614.19768646119189</v>
      </c>
      <c r="S36" s="1">
        <f t="shared" si="10"/>
        <v>296.95940914489307</v>
      </c>
      <c r="T36" s="1">
        <f t="shared" si="11"/>
        <v>0</v>
      </c>
      <c r="U36" s="1">
        <f t="shared" si="12"/>
        <v>532.00743102356068</v>
      </c>
      <c r="V36" s="11">
        <f t="shared" si="13"/>
        <v>598.87815666839776</v>
      </c>
      <c r="W36" s="34">
        <f t="shared" si="16"/>
        <v>0.96593251075548026</v>
      </c>
      <c r="X36" s="19">
        <v>1</v>
      </c>
    </row>
  </sheetData>
  <mergeCells count="22">
    <mergeCell ref="C8:D8"/>
    <mergeCell ref="O8:R8"/>
    <mergeCell ref="I2:R2"/>
    <mergeCell ref="B3:D3"/>
    <mergeCell ref="O5:R5"/>
    <mergeCell ref="O6:R6"/>
    <mergeCell ref="O7:R7"/>
    <mergeCell ref="O9:R9"/>
    <mergeCell ref="O10:R10"/>
    <mergeCell ref="O11:R11"/>
    <mergeCell ref="G15:G17"/>
    <mergeCell ref="H15:H16"/>
    <mergeCell ref="I15:I16"/>
    <mergeCell ref="J15:J16"/>
    <mergeCell ref="K15:K16"/>
    <mergeCell ref="L15:P15"/>
    <mergeCell ref="Q15:U15"/>
    <mergeCell ref="V15:V16"/>
    <mergeCell ref="W15:W16"/>
    <mergeCell ref="C17:D17"/>
    <mergeCell ref="C18:D18"/>
    <mergeCell ref="X15:X16"/>
  </mergeCells>
  <dataValidations disablePrompts="1" count="1">
    <dataValidation type="list" allowBlank="1" showInputMessage="1" showErrorMessage="1" prompt="Select applicable condition" sqref="C17:D17" xr:uid="{00000000-0002-0000-0100-000000000000}">
      <formula1>Condition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Goalseek">
                <anchor moveWithCells="1" sizeWithCells="1">
                  <from>
                    <xdr:col>23</xdr:col>
                    <xdr:colOff>76200</xdr:colOff>
                    <xdr:row>12</xdr:row>
                    <xdr:rowOff>7620</xdr:rowOff>
                  </from>
                  <to>
                    <xdr:col>23</xdr:col>
                    <xdr:colOff>838200</xdr:colOff>
                    <xdr:row>13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DC842-E4E5-4483-909B-665D29648910}">
  <sheetPr codeName="Sheet12"/>
  <dimension ref="B2:X43"/>
  <sheetViews>
    <sheetView topLeftCell="A11" workbookViewId="0">
      <selection activeCell="X12" sqref="X12"/>
    </sheetView>
  </sheetViews>
  <sheetFormatPr defaultRowHeight="14.4" x14ac:dyDescent="0.3"/>
  <cols>
    <col min="2" max="2" width="13.33203125" customWidth="1"/>
    <col min="9" max="9" width="12.33203125" customWidth="1"/>
    <col min="23" max="23" width="12.88671875" customWidth="1"/>
    <col min="24" max="24" width="13.33203125" customWidth="1"/>
  </cols>
  <sheetData>
    <row r="2" spans="2:24" ht="21" x14ac:dyDescent="0.4">
      <c r="I2" s="72" t="s">
        <v>48</v>
      </c>
      <c r="J2" s="72"/>
      <c r="K2" s="72"/>
      <c r="L2" s="72"/>
      <c r="M2" s="72"/>
      <c r="N2" s="72"/>
      <c r="O2" s="72"/>
      <c r="P2" s="72"/>
      <c r="Q2" s="72"/>
      <c r="R2" s="72"/>
    </row>
    <row r="3" spans="2:24" x14ac:dyDescent="0.3">
      <c r="B3" s="70" t="s">
        <v>4</v>
      </c>
      <c r="C3" s="73"/>
      <c r="D3" s="71"/>
      <c r="L3" s="2"/>
    </row>
    <row r="4" spans="2:24" x14ac:dyDescent="0.3">
      <c r="B4" s="5" t="s">
        <v>0</v>
      </c>
      <c r="C4" s="8">
        <f>F5/1000</f>
        <v>0.215</v>
      </c>
      <c r="D4" s="6" t="s">
        <v>1</v>
      </c>
      <c r="F4">
        <v>107.5</v>
      </c>
    </row>
    <row r="5" spans="2:24" ht="16.2" x14ac:dyDescent="0.35">
      <c r="B5" s="5" t="s">
        <v>2</v>
      </c>
      <c r="C5" s="6">
        <v>773</v>
      </c>
      <c r="D5" s="6" t="s">
        <v>3</v>
      </c>
      <c r="F5">
        <f>F4*2</f>
        <v>215</v>
      </c>
      <c r="I5" s="39" t="s">
        <v>45</v>
      </c>
      <c r="J5" s="14" t="s">
        <v>46</v>
      </c>
      <c r="N5" s="3" t="s">
        <v>30</v>
      </c>
      <c r="O5" s="68" t="s">
        <v>38</v>
      </c>
      <c r="P5" s="68"/>
      <c r="Q5" s="68"/>
      <c r="R5" s="68"/>
    </row>
    <row r="6" spans="2:24" ht="15.6" x14ac:dyDescent="0.35">
      <c r="B6" s="5" t="s">
        <v>116</v>
      </c>
      <c r="C6" s="6">
        <v>200000</v>
      </c>
      <c r="D6" s="6" t="s">
        <v>40</v>
      </c>
      <c r="I6" s="5" t="s">
        <v>41</v>
      </c>
      <c r="J6" s="40">
        <v>0.8</v>
      </c>
      <c r="N6" s="3" t="s">
        <v>16</v>
      </c>
      <c r="O6" s="68" t="s">
        <v>28</v>
      </c>
      <c r="P6" s="68"/>
      <c r="Q6" s="68"/>
      <c r="R6" s="68"/>
    </row>
    <row r="7" spans="2:24" ht="15.6" x14ac:dyDescent="0.35">
      <c r="I7" s="5" t="s">
        <v>42</v>
      </c>
      <c r="J7" s="40">
        <v>0.96</v>
      </c>
      <c r="N7" s="3" t="s">
        <v>15</v>
      </c>
      <c r="O7" s="68" t="s">
        <v>14</v>
      </c>
      <c r="P7" s="68"/>
      <c r="Q7" s="68"/>
      <c r="R7" s="68"/>
    </row>
    <row r="8" spans="2:24" ht="15.6" x14ac:dyDescent="0.3">
      <c r="B8" s="39" t="s">
        <v>5</v>
      </c>
      <c r="C8" s="70" t="s">
        <v>88</v>
      </c>
      <c r="D8" s="71"/>
      <c r="I8" s="5" t="s">
        <v>43</v>
      </c>
      <c r="J8" s="40">
        <v>1</v>
      </c>
      <c r="N8" s="4" t="s">
        <v>29</v>
      </c>
      <c r="O8" s="68" t="s">
        <v>37</v>
      </c>
      <c r="P8" s="68"/>
      <c r="Q8" s="68"/>
      <c r="R8" s="68"/>
    </row>
    <row r="9" spans="2:24" ht="15.6" x14ac:dyDescent="0.35">
      <c r="B9" s="5" t="s">
        <v>39</v>
      </c>
      <c r="C9" s="6">
        <v>620</v>
      </c>
      <c r="D9" s="6" t="s">
        <v>40</v>
      </c>
      <c r="E9" s="12"/>
      <c r="I9" s="5" t="s">
        <v>44</v>
      </c>
      <c r="J9" s="40">
        <v>1</v>
      </c>
      <c r="N9" s="4" t="s">
        <v>31</v>
      </c>
      <c r="O9" s="68" t="s">
        <v>36</v>
      </c>
      <c r="P9" s="68"/>
      <c r="Q9" s="68"/>
      <c r="R9" s="68"/>
    </row>
    <row r="10" spans="2:24" ht="14.4" customHeight="1" x14ac:dyDescent="0.3">
      <c r="B10" s="5" t="s">
        <v>0</v>
      </c>
      <c r="C10" s="7">
        <f>(23.55*2)/1000</f>
        <v>4.7100000000000003E-2</v>
      </c>
      <c r="D10" s="6" t="s">
        <v>1</v>
      </c>
      <c r="N10" s="4" t="s">
        <v>32</v>
      </c>
      <c r="O10" s="68" t="s">
        <v>35</v>
      </c>
      <c r="P10" s="68"/>
      <c r="Q10" s="68"/>
      <c r="R10" s="68"/>
    </row>
    <row r="11" spans="2:24" ht="15.6" x14ac:dyDescent="0.3">
      <c r="B11" s="5" t="s">
        <v>6</v>
      </c>
      <c r="C11" s="7">
        <f>C12+2*C13</f>
        <v>4.6100000000000002E-2</v>
      </c>
      <c r="D11" s="6" t="s">
        <v>1</v>
      </c>
      <c r="E11" s="31"/>
      <c r="F11" s="31"/>
      <c r="N11" s="4" t="s">
        <v>33</v>
      </c>
      <c r="O11" s="68" t="s">
        <v>34</v>
      </c>
      <c r="P11" s="68"/>
      <c r="Q11" s="68"/>
      <c r="R11" s="68"/>
    </row>
    <row r="12" spans="2:24" x14ac:dyDescent="0.3">
      <c r="B12" s="5" t="s">
        <v>7</v>
      </c>
      <c r="C12" s="7">
        <f>38.1/1000</f>
        <v>3.8100000000000002E-2</v>
      </c>
      <c r="D12" s="6" t="s">
        <v>1</v>
      </c>
      <c r="E12" s="31"/>
      <c r="F12" s="31"/>
      <c r="N12" s="2"/>
    </row>
    <row r="13" spans="2:24" ht="15.6" x14ac:dyDescent="0.35">
      <c r="B13" s="5" t="s">
        <v>49</v>
      </c>
      <c r="C13" s="7">
        <f>4/1000</f>
        <v>4.0000000000000001E-3</v>
      </c>
      <c r="D13" s="6" t="s">
        <v>40</v>
      </c>
    </row>
    <row r="14" spans="2:24" ht="15.6" x14ac:dyDescent="0.35">
      <c r="B14" s="5" t="s">
        <v>50</v>
      </c>
      <c r="C14" s="11">
        <v>0</v>
      </c>
      <c r="D14" s="6" t="s">
        <v>40</v>
      </c>
    </row>
    <row r="15" spans="2:24" ht="15.6" customHeight="1" x14ac:dyDescent="0.3">
      <c r="G15" s="69" t="s">
        <v>8</v>
      </c>
      <c r="H15" s="69" t="s">
        <v>9</v>
      </c>
      <c r="I15" s="69" t="s">
        <v>10</v>
      </c>
      <c r="J15" s="69" t="s">
        <v>15</v>
      </c>
      <c r="K15" s="69" t="s">
        <v>16</v>
      </c>
      <c r="L15" s="69" t="s">
        <v>51</v>
      </c>
      <c r="M15" s="69"/>
      <c r="N15" s="69"/>
      <c r="O15" s="69"/>
      <c r="P15" s="69"/>
      <c r="Q15" s="69" t="s">
        <v>52</v>
      </c>
      <c r="R15" s="69"/>
      <c r="S15" s="69"/>
      <c r="T15" s="69"/>
      <c r="U15" s="69"/>
      <c r="V15" s="63" t="s">
        <v>27</v>
      </c>
      <c r="W15" s="64" t="s">
        <v>74</v>
      </c>
      <c r="X15" s="67" t="s">
        <v>69</v>
      </c>
    </row>
    <row r="16" spans="2:24" ht="15.6" x14ac:dyDescent="0.3">
      <c r="B16" s="10" t="s">
        <v>53</v>
      </c>
      <c r="C16" s="6">
        <v>1790</v>
      </c>
      <c r="D16" s="15" t="s">
        <v>1</v>
      </c>
      <c r="G16" s="69"/>
      <c r="H16" s="69"/>
      <c r="I16" s="69"/>
      <c r="J16" s="69"/>
      <c r="K16" s="69"/>
      <c r="L16" s="41" t="s">
        <v>17</v>
      </c>
      <c r="M16" s="41" t="s">
        <v>18</v>
      </c>
      <c r="N16" s="41" t="s">
        <v>19</v>
      </c>
      <c r="O16" s="41" t="s">
        <v>20</v>
      </c>
      <c r="P16" s="41" t="s">
        <v>21</v>
      </c>
      <c r="Q16" s="41" t="s">
        <v>22</v>
      </c>
      <c r="R16" s="41" t="s">
        <v>23</v>
      </c>
      <c r="S16" s="41" t="s">
        <v>24</v>
      </c>
      <c r="T16" s="41" t="s">
        <v>25</v>
      </c>
      <c r="U16" s="41" t="s">
        <v>26</v>
      </c>
      <c r="V16" s="63"/>
      <c r="W16" s="64"/>
      <c r="X16" s="67"/>
    </row>
    <row r="17" spans="2:24" x14ac:dyDescent="0.3">
      <c r="B17" s="10" t="s">
        <v>45</v>
      </c>
      <c r="C17" s="65" t="s">
        <v>44</v>
      </c>
      <c r="D17" s="65"/>
      <c r="G17" s="69"/>
      <c r="H17" s="41" t="s">
        <v>13</v>
      </c>
      <c r="I17" s="41" t="s">
        <v>12</v>
      </c>
      <c r="J17" s="41" t="s">
        <v>11</v>
      </c>
      <c r="K17" s="41" t="s">
        <v>11</v>
      </c>
      <c r="L17" s="41" t="s">
        <v>11</v>
      </c>
      <c r="M17" s="41" t="s">
        <v>11</v>
      </c>
      <c r="N17" s="41" t="s">
        <v>11</v>
      </c>
      <c r="O17" s="41" t="s">
        <v>11</v>
      </c>
      <c r="P17" s="41" t="s">
        <v>11</v>
      </c>
      <c r="Q17" s="41" t="s">
        <v>11</v>
      </c>
      <c r="R17" s="41" t="s">
        <v>11</v>
      </c>
      <c r="S17" s="41" t="s">
        <v>11</v>
      </c>
      <c r="T17" s="41" t="s">
        <v>11</v>
      </c>
      <c r="U17" s="41" t="s">
        <v>11</v>
      </c>
      <c r="V17" s="41" t="s">
        <v>11</v>
      </c>
      <c r="W17" s="41" t="s">
        <v>47</v>
      </c>
      <c r="X17" s="41" t="s">
        <v>47</v>
      </c>
    </row>
    <row r="18" spans="2:24" ht="13.2" customHeight="1" x14ac:dyDescent="0.35">
      <c r="B18" s="9" t="s">
        <v>46</v>
      </c>
      <c r="C18" s="66">
        <v>1</v>
      </c>
      <c r="D18" s="66"/>
      <c r="F18">
        <f>1/I18</f>
        <v>0.13168696237995051</v>
      </c>
      <c r="G18" s="18">
        <v>1</v>
      </c>
      <c r="H18" s="6">
        <v>0</v>
      </c>
      <c r="I18" s="19">
        <v>7.5937661703726196</v>
      </c>
      <c r="J18" s="1">
        <f>($C$13-$C$14)*($C$10-2*$C$12)^2/($C$10^2-($C$10-2*$C$12)^2)</f>
        <v>2.4695538057742782E-3</v>
      </c>
      <c r="K18" s="1">
        <f>$C$6*0.001*H18/$C$5</f>
        <v>0</v>
      </c>
      <c r="L18" s="1">
        <f>$C$6*((0.5*$C$11)/I18)</f>
        <v>607.07689657157187</v>
      </c>
      <c r="M18" s="1">
        <f>J18+K18+L18</f>
        <v>607.07936612537765</v>
      </c>
      <c r="N18" s="1">
        <f t="shared" ref="N18:N43" si="0">($C$13-$C$14)*($C$10^2+($C$10-2*$C$12)^2)/($C$10^2-($C$10-2*$C$12)^2)-$C$14</f>
        <v>8.9391076115485548E-3</v>
      </c>
      <c r="O18" s="1">
        <f t="shared" ref="O18:O43" si="1">-$C$13</f>
        <v>-4.0000000000000001E-3</v>
      </c>
      <c r="P18" s="1">
        <f>SQRT((N18-M18)^2+(M18-O18)^2+(O18-N18)^2)/SQRT(2)</f>
        <v>607.07689667498983</v>
      </c>
      <c r="Q18" s="1">
        <f>$C$6*((0.5*$C$10)/I18)</f>
        <v>620.24559280956692</v>
      </c>
      <c r="R18" s="1">
        <f>J18+K18+Q18</f>
        <v>620.2480623633727</v>
      </c>
      <c r="S18" s="1">
        <f t="shared" ref="S18:S43" si="2">($C$13-$C$14)*(2*($C$10-2*$C$12)^2/($C$10^2-($C$10-2*$C$12)^2))-$C$14</f>
        <v>4.9391076115485556E-3</v>
      </c>
      <c r="T18" s="1">
        <f>-$C$14</f>
        <v>0</v>
      </c>
      <c r="U18" s="1">
        <f>SQRT((S18-R18)^2+(R18-T18)^2+(T18-S18)^2)/SQRT(2)</f>
        <v>620.24559282431596</v>
      </c>
      <c r="V18" s="11">
        <f>MAX(P18,U18)</f>
        <v>620.24559282431596</v>
      </c>
      <c r="W18" s="8">
        <f>V18/($C$9*$C$18)</f>
        <v>1.000396117458574</v>
      </c>
      <c r="X18" s="19">
        <v>1</v>
      </c>
    </row>
    <row r="19" spans="2:24" x14ac:dyDescent="0.3">
      <c r="F19">
        <f t="shared" ref="F19:F36" si="3">1/I19</f>
        <v>0.12614031718144683</v>
      </c>
      <c r="G19" s="18">
        <f>G18+1</f>
        <v>2</v>
      </c>
      <c r="H19" s="6">
        <f>H18+100</f>
        <v>100</v>
      </c>
      <c r="I19" s="40">
        <v>7.9276794473375842</v>
      </c>
      <c r="J19" s="1">
        <f t="shared" ref="J19:J43" si="4">($C$13-$C$14)*($C$10-2*$C$12)^2/($C$10^2-($C$10-2*$C$12)^2)</f>
        <v>2.4695538057742782E-3</v>
      </c>
      <c r="K19" s="1">
        <f t="shared" ref="K19:K37" si="5">$C$6*0.001*H19/$C$5</f>
        <v>25.873221216041397</v>
      </c>
      <c r="L19" s="1">
        <f t="shared" ref="L19:L37" si="6">$C$6*((0.5*$C$11)/I19)</f>
        <v>581.50686220646992</v>
      </c>
      <c r="M19" s="1">
        <f t="shared" ref="M19:M37" si="7">J19+K19+L19</f>
        <v>607.38255297631713</v>
      </c>
      <c r="N19" s="1">
        <f t="shared" si="0"/>
        <v>8.9391076115485548E-3</v>
      </c>
      <c r="O19" s="1">
        <f t="shared" si="1"/>
        <v>-4.0000000000000001E-3</v>
      </c>
      <c r="P19" s="1">
        <f t="shared" ref="P19:P37" si="8">SQRT((N19-M19)^2+(M19-O19)^2+(O19-N19)^2)/SQRT(2)</f>
        <v>607.38008352587769</v>
      </c>
      <c r="Q19" s="1">
        <f t="shared" ref="Q19:Q37" si="9">$C$6*((0.5*$C$10)/I19)</f>
        <v>594.12089392461462</v>
      </c>
      <c r="R19" s="1">
        <f t="shared" ref="R19:R37" si="10">J19+K19+Q19</f>
        <v>619.99658469446183</v>
      </c>
      <c r="S19" s="1">
        <f t="shared" si="2"/>
        <v>4.9391076115485556E-3</v>
      </c>
      <c r="T19" s="1">
        <f t="shared" ref="T19:T43" si="11">-$C$14</f>
        <v>0</v>
      </c>
      <c r="U19" s="1">
        <f t="shared" ref="U19:U37" si="12">SQRT((S19-R19)^2+(R19-T19)^2+(T19-S19)^2)/SQRT(2)</f>
        <v>619.99411515541112</v>
      </c>
      <c r="V19" s="11">
        <f t="shared" ref="V19:V37" si="13">MAX(P19,U19)</f>
        <v>619.99411515541112</v>
      </c>
      <c r="W19" s="8">
        <f t="shared" ref="W19:W36" si="14">V19/($C$9*$C$18)</f>
        <v>0.99999050831517922</v>
      </c>
      <c r="X19" s="19">
        <f>X18</f>
        <v>1</v>
      </c>
    </row>
    <row r="20" spans="2:24" x14ac:dyDescent="0.3">
      <c r="F20">
        <f t="shared" si="3"/>
        <v>0.12064472925007964</v>
      </c>
      <c r="G20" s="18">
        <f t="shared" ref="G20:G43" si="15">G19+1</f>
        <v>3</v>
      </c>
      <c r="H20" s="6">
        <f t="shared" ref="H20:H43" si="16">H19+100</f>
        <v>200</v>
      </c>
      <c r="I20" s="40">
        <v>8.2887997363493593</v>
      </c>
      <c r="J20" s="1">
        <f t="shared" si="4"/>
        <v>2.4695538057742782E-3</v>
      </c>
      <c r="K20" s="1">
        <f t="shared" si="5"/>
        <v>51.746442432082794</v>
      </c>
      <c r="L20" s="1">
        <f t="shared" si="6"/>
        <v>556.17220184286714</v>
      </c>
      <c r="M20" s="1">
        <f t="shared" si="7"/>
        <v>607.92111382875567</v>
      </c>
      <c r="N20" s="1">
        <f t="shared" si="0"/>
        <v>8.9391076115485548E-3</v>
      </c>
      <c r="O20" s="1">
        <f t="shared" si="1"/>
        <v>-4.0000000000000001E-3</v>
      </c>
      <c r="P20" s="1">
        <f t="shared" si="8"/>
        <v>607.9186443782246</v>
      </c>
      <c r="Q20" s="1">
        <f t="shared" si="9"/>
        <v>568.23667476787512</v>
      </c>
      <c r="R20" s="1">
        <f t="shared" si="10"/>
        <v>619.98558675376364</v>
      </c>
      <c r="S20" s="1">
        <f t="shared" si="2"/>
        <v>4.9391076115485556E-3</v>
      </c>
      <c r="T20" s="1">
        <f t="shared" si="11"/>
        <v>0</v>
      </c>
      <c r="U20" s="1">
        <f t="shared" si="12"/>
        <v>619.98311721471316</v>
      </c>
      <c r="V20" s="11">
        <f t="shared" si="13"/>
        <v>619.98311721471316</v>
      </c>
      <c r="W20" s="8">
        <f t="shared" si="14"/>
        <v>0.99997276970115023</v>
      </c>
      <c r="X20" s="19">
        <f t="shared" ref="X20:X43" si="17">X19</f>
        <v>1</v>
      </c>
    </row>
    <row r="21" spans="2:24" x14ac:dyDescent="0.3">
      <c r="F21">
        <f t="shared" si="3"/>
        <v>0.11514742518801095</v>
      </c>
      <c r="G21" s="18">
        <f t="shared" si="15"/>
        <v>4</v>
      </c>
      <c r="H21" s="6">
        <f t="shared" si="16"/>
        <v>300</v>
      </c>
      <c r="I21" s="40">
        <v>8.6845189839652548</v>
      </c>
      <c r="J21" s="1">
        <f t="shared" si="4"/>
        <v>2.4695538057742782E-3</v>
      </c>
      <c r="K21" s="1">
        <f t="shared" si="5"/>
        <v>77.619663648124188</v>
      </c>
      <c r="L21" s="1">
        <f t="shared" si="6"/>
        <v>530.82963011673053</v>
      </c>
      <c r="M21" s="1">
        <f t="shared" si="7"/>
        <v>608.45176331866048</v>
      </c>
      <c r="N21" s="1">
        <f t="shared" si="0"/>
        <v>8.9391076115485548E-3</v>
      </c>
      <c r="O21" s="1">
        <f t="shared" si="1"/>
        <v>-4.0000000000000001E-3</v>
      </c>
      <c r="P21" s="1">
        <f t="shared" si="8"/>
        <v>608.44929386803938</v>
      </c>
      <c r="Q21" s="1">
        <f t="shared" si="9"/>
        <v>542.34437263553161</v>
      </c>
      <c r="R21" s="1">
        <f t="shared" si="10"/>
        <v>619.96650583746157</v>
      </c>
      <c r="S21" s="1">
        <f t="shared" si="2"/>
        <v>4.9391076115485556E-3</v>
      </c>
      <c r="T21" s="1">
        <f t="shared" si="11"/>
        <v>0</v>
      </c>
      <c r="U21" s="1">
        <f t="shared" si="12"/>
        <v>619.96403629841154</v>
      </c>
      <c r="V21" s="11">
        <f t="shared" si="13"/>
        <v>619.96403629841154</v>
      </c>
      <c r="W21" s="40">
        <f>V21/($C$9*$C$18)</f>
        <v>0.99994199402969608</v>
      </c>
      <c r="X21" s="19">
        <f t="shared" si="17"/>
        <v>1</v>
      </c>
    </row>
    <row r="22" spans="2:24" x14ac:dyDescent="0.3">
      <c r="F22">
        <f t="shared" si="3"/>
        <v>0.10964780244821379</v>
      </c>
      <c r="G22" s="18">
        <f t="shared" si="15"/>
        <v>5</v>
      </c>
      <c r="H22" s="6">
        <f t="shared" si="16"/>
        <v>400</v>
      </c>
      <c r="I22" s="40">
        <v>9.1201098213737204</v>
      </c>
      <c r="J22" s="1">
        <f t="shared" si="4"/>
        <v>2.4695538057742782E-3</v>
      </c>
      <c r="K22" s="1">
        <f t="shared" si="5"/>
        <v>103.49288486416559</v>
      </c>
      <c r="L22" s="1">
        <f t="shared" si="6"/>
        <v>505.47636928626554</v>
      </c>
      <c r="M22" s="1">
        <f t="shared" si="7"/>
        <v>608.97172370423687</v>
      </c>
      <c r="N22" s="1">
        <f t="shared" si="0"/>
        <v>8.9391076115485548E-3</v>
      </c>
      <c r="O22" s="1">
        <f t="shared" si="1"/>
        <v>-4.0000000000000001E-3</v>
      </c>
      <c r="P22" s="1">
        <f t="shared" si="8"/>
        <v>608.96925425352765</v>
      </c>
      <c r="Q22" s="1">
        <f t="shared" si="9"/>
        <v>516.44114953108692</v>
      </c>
      <c r="R22" s="1">
        <f t="shared" si="10"/>
        <v>619.93650394905831</v>
      </c>
      <c r="S22" s="1">
        <f t="shared" si="2"/>
        <v>4.9391076115485556E-3</v>
      </c>
      <c r="T22" s="1">
        <f t="shared" si="11"/>
        <v>0</v>
      </c>
      <c r="U22" s="1">
        <f t="shared" si="12"/>
        <v>619.93403441000908</v>
      </c>
      <c r="V22" s="11">
        <f t="shared" si="13"/>
        <v>619.93403441000908</v>
      </c>
      <c r="W22" s="40">
        <f t="shared" si="14"/>
        <v>0.99989360388711146</v>
      </c>
      <c r="X22" s="19">
        <f t="shared" si="17"/>
        <v>1</v>
      </c>
    </row>
    <row r="23" spans="2:24" x14ac:dyDescent="0.3">
      <c r="F23">
        <f t="shared" si="3"/>
        <v>0.10414500282876511</v>
      </c>
      <c r="G23" s="18">
        <f t="shared" si="15"/>
        <v>6</v>
      </c>
      <c r="H23" s="6">
        <f t="shared" si="16"/>
        <v>500</v>
      </c>
      <c r="I23" s="40">
        <v>9.6019969546133375</v>
      </c>
      <c r="J23" s="1">
        <f t="shared" si="4"/>
        <v>2.4695538057742782E-3</v>
      </c>
      <c r="K23" s="1">
        <f t="shared" si="5"/>
        <v>129.36610608020698</v>
      </c>
      <c r="L23" s="1">
        <f t="shared" si="6"/>
        <v>480.10846304060715</v>
      </c>
      <c r="M23" s="1">
        <f t="shared" si="7"/>
        <v>609.47703867461996</v>
      </c>
      <c r="N23" s="1">
        <f t="shared" si="0"/>
        <v>8.9391076115485548E-3</v>
      </c>
      <c r="O23" s="1">
        <f t="shared" si="1"/>
        <v>-4.0000000000000001E-3</v>
      </c>
      <c r="P23" s="1">
        <f t="shared" si="8"/>
        <v>609.47456922382526</v>
      </c>
      <c r="Q23" s="1">
        <f t="shared" si="9"/>
        <v>490.52296332348368</v>
      </c>
      <c r="R23" s="1">
        <f t="shared" si="10"/>
        <v>619.89153895749644</v>
      </c>
      <c r="S23" s="1">
        <f t="shared" si="2"/>
        <v>4.9391076115485556E-3</v>
      </c>
      <c r="T23" s="1">
        <f t="shared" si="11"/>
        <v>0</v>
      </c>
      <c r="U23" s="1">
        <f t="shared" si="12"/>
        <v>619.88906941844812</v>
      </c>
      <c r="V23" s="11">
        <f t="shared" si="13"/>
        <v>619.88906941844812</v>
      </c>
      <c r="W23" s="40">
        <f t="shared" si="14"/>
        <v>0.99982107970717438</v>
      </c>
      <c r="X23" s="19">
        <f t="shared" si="17"/>
        <v>1</v>
      </c>
    </row>
    <row r="24" spans="2:24" x14ac:dyDescent="0.3">
      <c r="F24">
        <f t="shared" si="3"/>
        <v>9.8637816253131755E-2</v>
      </c>
      <c r="G24" s="18">
        <f t="shared" si="15"/>
        <v>7</v>
      </c>
      <c r="H24" s="6">
        <f t="shared" si="16"/>
        <v>600</v>
      </c>
      <c r="I24" s="40">
        <v>10.138099544232864</v>
      </c>
      <c r="J24" s="1">
        <f t="shared" si="4"/>
        <v>2.4695538057742782E-3</v>
      </c>
      <c r="K24" s="1">
        <f t="shared" si="5"/>
        <v>155.23932729624838</v>
      </c>
      <c r="L24" s="1">
        <f t="shared" si="6"/>
        <v>454.72033292693743</v>
      </c>
      <c r="M24" s="1">
        <f t="shared" si="7"/>
        <v>609.96212977699156</v>
      </c>
      <c r="N24" s="1">
        <f t="shared" si="0"/>
        <v>8.9391076115485548E-3</v>
      </c>
      <c r="O24" s="1">
        <f t="shared" si="1"/>
        <v>-4.0000000000000001E-3</v>
      </c>
      <c r="P24" s="1">
        <f t="shared" si="8"/>
        <v>609.959660326115</v>
      </c>
      <c r="Q24" s="1">
        <f t="shared" si="9"/>
        <v>464.58411455225058</v>
      </c>
      <c r="R24" s="1">
        <f t="shared" si="10"/>
        <v>619.82591140230477</v>
      </c>
      <c r="S24" s="1">
        <f t="shared" si="2"/>
        <v>4.9391076115485556E-3</v>
      </c>
      <c r="T24" s="1">
        <f t="shared" si="11"/>
        <v>0</v>
      </c>
      <c r="U24" s="1">
        <f t="shared" si="12"/>
        <v>619.82344186325804</v>
      </c>
      <c r="V24" s="11">
        <f t="shared" si="13"/>
        <v>619.82344186325804</v>
      </c>
      <c r="W24" s="40">
        <f t="shared" si="14"/>
        <v>0.99971522881170649</v>
      </c>
      <c r="X24" s="19">
        <f t="shared" si="17"/>
        <v>1</v>
      </c>
    </row>
    <row r="25" spans="2:24" x14ac:dyDescent="0.3">
      <c r="F25">
        <f t="shared" si="3"/>
        <v>9.3124498909177247E-2</v>
      </c>
      <c r="G25" s="18">
        <f t="shared" si="15"/>
        <v>8</v>
      </c>
      <c r="H25" s="6">
        <f t="shared" si="16"/>
        <v>700</v>
      </c>
      <c r="I25" s="40">
        <v>10.738312814711445</v>
      </c>
      <c r="J25" s="1">
        <f t="shared" si="4"/>
        <v>2.4695538057742782E-3</v>
      </c>
      <c r="K25" s="1">
        <f t="shared" si="5"/>
        <v>181.11254851228978</v>
      </c>
      <c r="L25" s="1">
        <f t="shared" si="6"/>
        <v>429.3039399713071</v>
      </c>
      <c r="M25" s="1">
        <f t="shared" si="7"/>
        <v>610.41895803740272</v>
      </c>
      <c r="N25" s="1">
        <f t="shared" si="0"/>
        <v>8.9391076115485548E-3</v>
      </c>
      <c r="O25" s="1">
        <f t="shared" si="1"/>
        <v>-4.0000000000000001E-3</v>
      </c>
      <c r="P25" s="1">
        <f t="shared" si="8"/>
        <v>610.41648858644908</v>
      </c>
      <c r="Q25" s="1">
        <f t="shared" si="9"/>
        <v>438.61638986222482</v>
      </c>
      <c r="R25" s="1">
        <f t="shared" si="10"/>
        <v>619.73140792832032</v>
      </c>
      <c r="S25" s="1">
        <f t="shared" si="2"/>
        <v>4.9391076115485556E-3</v>
      </c>
      <c r="T25" s="1">
        <f t="shared" si="11"/>
        <v>0</v>
      </c>
      <c r="U25" s="1">
        <f t="shared" si="12"/>
        <v>619.72893838927587</v>
      </c>
      <c r="V25" s="11">
        <f t="shared" si="13"/>
        <v>619.72893838927587</v>
      </c>
      <c r="W25" s="40">
        <f t="shared" si="14"/>
        <v>0.9995628038536708</v>
      </c>
      <c r="X25" s="19">
        <f t="shared" si="17"/>
        <v>1</v>
      </c>
    </row>
    <row r="26" spans="2:24" x14ac:dyDescent="0.3">
      <c r="F26">
        <f t="shared" si="3"/>
        <v>8.7602487053420608E-2</v>
      </c>
      <c r="G26" s="18">
        <f t="shared" si="15"/>
        <v>9</v>
      </c>
      <c r="H26" s="6">
        <f t="shared" si="16"/>
        <v>800</v>
      </c>
      <c r="I26" s="43">
        <v>11.415201024945707</v>
      </c>
      <c r="J26" s="1">
        <f t="shared" si="4"/>
        <v>2.4695538057742782E-3</v>
      </c>
      <c r="K26" s="1">
        <f t="shared" si="5"/>
        <v>206.98576972833118</v>
      </c>
      <c r="L26" s="1">
        <f t="shared" si="6"/>
        <v>403.84746531626899</v>
      </c>
      <c r="M26" s="1">
        <f t="shared" si="7"/>
        <v>610.83570459840598</v>
      </c>
      <c r="N26" s="1">
        <f t="shared" si="0"/>
        <v>8.9391076115485548E-3</v>
      </c>
      <c r="O26" s="1">
        <f t="shared" si="1"/>
        <v>-4.0000000000000001E-3</v>
      </c>
      <c r="P26" s="1">
        <f t="shared" si="8"/>
        <v>610.8332351473822</v>
      </c>
      <c r="Q26" s="1">
        <f t="shared" si="9"/>
        <v>412.60771402161112</v>
      </c>
      <c r="R26" s="1">
        <f t="shared" si="10"/>
        <v>619.59595330374805</v>
      </c>
      <c r="S26" s="1">
        <f t="shared" si="2"/>
        <v>4.9391076115485556E-3</v>
      </c>
      <c r="T26" s="1">
        <f t="shared" si="11"/>
        <v>0</v>
      </c>
      <c r="U26" s="1">
        <f t="shared" si="12"/>
        <v>619.59348376470689</v>
      </c>
      <c r="V26" s="11">
        <f t="shared" si="13"/>
        <v>619.59348376470689</v>
      </c>
      <c r="W26" s="40">
        <f t="shared" si="14"/>
        <v>0.99934432865275302</v>
      </c>
      <c r="X26" s="19">
        <f t="shared" si="17"/>
        <v>1</v>
      </c>
    </row>
    <row r="27" spans="2:24" x14ac:dyDescent="0.3">
      <c r="F27">
        <f t="shared" si="3"/>
        <v>8.2067924074620546E-2</v>
      </c>
      <c r="G27" s="18">
        <f t="shared" si="15"/>
        <v>10</v>
      </c>
      <c r="H27" s="6">
        <f t="shared" si="16"/>
        <v>900</v>
      </c>
      <c r="I27" s="43">
        <v>12.185028575728886</v>
      </c>
      <c r="J27" s="1">
        <f t="shared" si="4"/>
        <v>2.4695538057742782E-3</v>
      </c>
      <c r="K27" s="1">
        <f t="shared" si="5"/>
        <v>232.85899094437258</v>
      </c>
      <c r="L27" s="1">
        <f t="shared" si="6"/>
        <v>378.33312998400072</v>
      </c>
      <c r="M27" s="1">
        <f t="shared" si="7"/>
        <v>611.19459048217914</v>
      </c>
      <c r="N27" s="1">
        <f t="shared" si="0"/>
        <v>8.9391076115485548E-3</v>
      </c>
      <c r="O27" s="1">
        <f t="shared" si="1"/>
        <v>-4.0000000000000001E-3</v>
      </c>
      <c r="P27" s="1">
        <f t="shared" si="8"/>
        <v>611.19212103109498</v>
      </c>
      <c r="Q27" s="1">
        <f t="shared" si="9"/>
        <v>386.53992239146282</v>
      </c>
      <c r="R27" s="1">
        <f t="shared" si="10"/>
        <v>619.40138288964113</v>
      </c>
      <c r="S27" s="1">
        <f t="shared" si="2"/>
        <v>4.9391076115485556E-3</v>
      </c>
      <c r="T27" s="1">
        <f t="shared" si="11"/>
        <v>0</v>
      </c>
      <c r="U27" s="1">
        <f t="shared" si="12"/>
        <v>619.39891335060452</v>
      </c>
      <c r="V27" s="11">
        <f t="shared" si="13"/>
        <v>619.39891335060452</v>
      </c>
      <c r="W27" s="40">
        <f t="shared" si="14"/>
        <v>0.9990305054042008</v>
      </c>
      <c r="X27" s="19">
        <f t="shared" si="17"/>
        <v>1</v>
      </c>
    </row>
    <row r="28" spans="2:24" x14ac:dyDescent="0.3">
      <c r="F28">
        <f t="shared" si="3"/>
        <v>7.6693635755238493E-2</v>
      </c>
      <c r="G28" s="18">
        <f t="shared" si="15"/>
        <v>11</v>
      </c>
      <c r="H28" s="6">
        <f t="shared" si="16"/>
        <v>1000</v>
      </c>
      <c r="I28" s="43">
        <v>13.038891560590747</v>
      </c>
      <c r="J28" s="1">
        <f t="shared" si="4"/>
        <v>2.4695538057742782E-3</v>
      </c>
      <c r="K28" s="1">
        <f t="shared" si="5"/>
        <v>258.73221216041395</v>
      </c>
      <c r="L28" s="1">
        <f t="shared" si="6"/>
        <v>353.55766083164946</v>
      </c>
      <c r="M28" s="1">
        <f t="shared" si="7"/>
        <v>612.29234254586913</v>
      </c>
      <c r="N28" s="1">
        <f t="shared" si="0"/>
        <v>8.9391076115485548E-3</v>
      </c>
      <c r="O28" s="1">
        <f t="shared" si="1"/>
        <v>-4.0000000000000001E-3</v>
      </c>
      <c r="P28" s="1">
        <f t="shared" si="8"/>
        <v>612.28987309460081</v>
      </c>
      <c r="Q28" s="1">
        <f t="shared" si="9"/>
        <v>361.22702440717336</v>
      </c>
      <c r="R28" s="1">
        <f t="shared" si="10"/>
        <v>619.96170612139304</v>
      </c>
      <c r="S28" s="1">
        <f t="shared" si="2"/>
        <v>4.9391076115485556E-3</v>
      </c>
      <c r="T28" s="1">
        <f t="shared" si="11"/>
        <v>0</v>
      </c>
      <c r="U28" s="1">
        <f t="shared" si="12"/>
        <v>619.95923658234312</v>
      </c>
      <c r="V28" s="11">
        <f t="shared" si="13"/>
        <v>619.95923658234312</v>
      </c>
      <c r="W28" s="40">
        <f t="shared" si="14"/>
        <v>0.99993425255216628</v>
      </c>
      <c r="X28" s="19">
        <f t="shared" si="17"/>
        <v>1</v>
      </c>
    </row>
    <row r="29" spans="2:24" x14ac:dyDescent="0.3">
      <c r="F29">
        <f t="shared" si="3"/>
        <v>7.1175920955348984E-2</v>
      </c>
      <c r="G29" s="18">
        <f t="shared" si="15"/>
        <v>12</v>
      </c>
      <c r="H29" s="6">
        <f t="shared" si="16"/>
        <v>1100</v>
      </c>
      <c r="I29" s="43">
        <v>14.049695270221134</v>
      </c>
      <c r="J29" s="1">
        <f t="shared" si="4"/>
        <v>2.4695538057742782E-3</v>
      </c>
      <c r="K29" s="1">
        <f t="shared" si="5"/>
        <v>284.60543337645538</v>
      </c>
      <c r="L29" s="1">
        <f t="shared" si="6"/>
        <v>328.12099560415885</v>
      </c>
      <c r="M29" s="1">
        <f t="shared" si="7"/>
        <v>612.72889853442007</v>
      </c>
      <c r="N29" s="1">
        <f t="shared" si="0"/>
        <v>8.9391076115485548E-3</v>
      </c>
      <c r="O29" s="1">
        <f t="shared" si="1"/>
        <v>-4.0000000000000001E-3</v>
      </c>
      <c r="P29" s="1">
        <f t="shared" si="8"/>
        <v>612.72642908307876</v>
      </c>
      <c r="Q29" s="1">
        <f t="shared" si="9"/>
        <v>335.23858769969377</v>
      </c>
      <c r="R29" s="1">
        <f t="shared" si="10"/>
        <v>619.84649062995493</v>
      </c>
      <c r="S29" s="1">
        <f t="shared" si="2"/>
        <v>4.9391076115485556E-3</v>
      </c>
      <c r="T29" s="1">
        <f t="shared" si="11"/>
        <v>0</v>
      </c>
      <c r="U29" s="1">
        <f t="shared" si="12"/>
        <v>619.84402109090775</v>
      </c>
      <c r="V29" s="11">
        <f t="shared" si="13"/>
        <v>619.84402109090775</v>
      </c>
      <c r="W29" s="40">
        <f t="shared" si="14"/>
        <v>0.99974842111436735</v>
      </c>
      <c r="X29" s="19">
        <f t="shared" si="17"/>
        <v>1</v>
      </c>
    </row>
    <row r="30" spans="2:24" x14ac:dyDescent="0.3">
      <c r="F30">
        <f t="shared" si="3"/>
        <v>6.5687393467223854E-2</v>
      </c>
      <c r="G30" s="18">
        <f t="shared" si="15"/>
        <v>13</v>
      </c>
      <c r="H30" s="6">
        <f t="shared" si="16"/>
        <v>1200</v>
      </c>
      <c r="I30" s="43">
        <v>15.223621264542512</v>
      </c>
      <c r="J30" s="1">
        <f t="shared" si="4"/>
        <v>2.4695538057742782E-3</v>
      </c>
      <c r="K30" s="1">
        <f t="shared" si="5"/>
        <v>310.47865459249675</v>
      </c>
      <c r="L30" s="1">
        <f t="shared" si="6"/>
        <v>302.818883883902</v>
      </c>
      <c r="M30" s="1">
        <f t="shared" si="7"/>
        <v>613.30000803020448</v>
      </c>
      <c r="N30" s="1">
        <f t="shared" si="0"/>
        <v>8.9391076115485548E-3</v>
      </c>
      <c r="O30" s="1">
        <f t="shared" si="1"/>
        <v>-4.0000000000000001E-3</v>
      </c>
      <c r="P30" s="1">
        <f t="shared" si="8"/>
        <v>613.29753857876767</v>
      </c>
      <c r="Q30" s="1">
        <f t="shared" si="9"/>
        <v>309.3876232306244</v>
      </c>
      <c r="R30" s="1">
        <f t="shared" si="10"/>
        <v>619.86874737692688</v>
      </c>
      <c r="S30" s="1">
        <f t="shared" si="2"/>
        <v>4.9391076115485556E-3</v>
      </c>
      <c r="T30" s="1">
        <f t="shared" si="11"/>
        <v>0</v>
      </c>
      <c r="U30" s="1">
        <f t="shared" si="12"/>
        <v>619.86627783787912</v>
      </c>
      <c r="V30" s="11">
        <f t="shared" si="13"/>
        <v>619.86627783787912</v>
      </c>
      <c r="W30" s="40">
        <f t="shared" si="14"/>
        <v>0.99978431909335341</v>
      </c>
      <c r="X30" s="19">
        <f t="shared" si="17"/>
        <v>1</v>
      </c>
    </row>
    <row r="31" spans="2:24" x14ac:dyDescent="0.3">
      <c r="F31">
        <f t="shared" si="3"/>
        <v>6.0208155458334717E-2</v>
      </c>
      <c r="G31" s="18">
        <f t="shared" si="15"/>
        <v>14</v>
      </c>
      <c r="H31" s="6">
        <f t="shared" si="16"/>
        <v>1300</v>
      </c>
      <c r="I31" s="43">
        <v>16.609045608314982</v>
      </c>
      <c r="J31" s="1">
        <f t="shared" si="4"/>
        <v>2.4695538057742782E-3</v>
      </c>
      <c r="K31" s="1">
        <f t="shared" si="5"/>
        <v>336.35187580853818</v>
      </c>
      <c r="L31" s="1">
        <f t="shared" si="6"/>
        <v>277.55959666292307</v>
      </c>
      <c r="M31" s="1">
        <f t="shared" si="7"/>
        <v>613.91394202526703</v>
      </c>
      <c r="N31" s="1">
        <f t="shared" si="0"/>
        <v>8.9391076115485548E-3</v>
      </c>
      <c r="O31" s="1">
        <f t="shared" si="1"/>
        <v>-4.0000000000000001E-3</v>
      </c>
      <c r="P31" s="1">
        <f t="shared" si="8"/>
        <v>613.91147257372791</v>
      </c>
      <c r="Q31" s="1">
        <f t="shared" si="9"/>
        <v>283.58041220875651</v>
      </c>
      <c r="R31" s="1">
        <f t="shared" si="10"/>
        <v>619.93475757110048</v>
      </c>
      <c r="S31" s="1">
        <f t="shared" si="2"/>
        <v>4.9391076115485556E-3</v>
      </c>
      <c r="T31" s="1">
        <f t="shared" si="11"/>
        <v>0</v>
      </c>
      <c r="U31" s="1">
        <f t="shared" si="12"/>
        <v>619.93228803205125</v>
      </c>
      <c r="V31" s="11">
        <f t="shared" si="13"/>
        <v>619.93228803205125</v>
      </c>
      <c r="W31" s="40">
        <f t="shared" si="14"/>
        <v>0.9998907871484698</v>
      </c>
      <c r="X31" s="19">
        <f t="shared" si="17"/>
        <v>1</v>
      </c>
    </row>
    <row r="32" spans="2:24" x14ac:dyDescent="0.3">
      <c r="F32">
        <f t="shared" si="3"/>
        <v>5.4709902354497908E-2</v>
      </c>
      <c r="G32" s="18">
        <f t="shared" si="15"/>
        <v>15</v>
      </c>
      <c r="H32" s="6">
        <f t="shared" si="16"/>
        <v>1400</v>
      </c>
      <c r="I32" s="43">
        <v>18.278226737097917</v>
      </c>
      <c r="J32" s="1">
        <f t="shared" si="4"/>
        <v>2.4695538057742782E-3</v>
      </c>
      <c r="K32" s="1">
        <f t="shared" si="5"/>
        <v>362.22509702457955</v>
      </c>
      <c r="L32" s="1">
        <f t="shared" si="6"/>
        <v>252.21264985423537</v>
      </c>
      <c r="M32" s="1">
        <f t="shared" si="7"/>
        <v>614.44021643262067</v>
      </c>
      <c r="N32" s="1">
        <f t="shared" si="0"/>
        <v>8.9391076115485548E-3</v>
      </c>
      <c r="O32" s="1">
        <f t="shared" si="1"/>
        <v>-4.0000000000000001E-3</v>
      </c>
      <c r="P32" s="1">
        <f t="shared" si="8"/>
        <v>614.43774698099401</v>
      </c>
      <c r="Q32" s="1">
        <f t="shared" si="9"/>
        <v>257.68364008968518</v>
      </c>
      <c r="R32" s="1">
        <f t="shared" si="10"/>
        <v>619.91120666807046</v>
      </c>
      <c r="S32" s="1">
        <f t="shared" si="2"/>
        <v>4.9391076115485556E-3</v>
      </c>
      <c r="T32" s="1">
        <f t="shared" si="11"/>
        <v>0</v>
      </c>
      <c r="U32" s="1">
        <f t="shared" si="12"/>
        <v>619.9087371290218</v>
      </c>
      <c r="V32" s="11">
        <f t="shared" si="13"/>
        <v>619.9087371290218</v>
      </c>
      <c r="W32" s="40">
        <f t="shared" si="14"/>
        <v>0.99985280182100289</v>
      </c>
      <c r="X32" s="19">
        <f t="shared" si="17"/>
        <v>1</v>
      </c>
    </row>
    <row r="33" spans="6:24" x14ac:dyDescent="0.3">
      <c r="F33">
        <f t="shared" si="3"/>
        <v>4.9250896695108813E-2</v>
      </c>
      <c r="G33" s="18">
        <f t="shared" si="15"/>
        <v>16</v>
      </c>
      <c r="H33" s="6">
        <f t="shared" si="16"/>
        <v>1500</v>
      </c>
      <c r="I33" s="43">
        <v>20.304198849222406</v>
      </c>
      <c r="J33" s="1">
        <f t="shared" si="4"/>
        <v>2.4695538057742782E-3</v>
      </c>
      <c r="K33" s="1">
        <f t="shared" si="5"/>
        <v>388.09831824062098</v>
      </c>
      <c r="L33" s="1">
        <f t="shared" si="6"/>
        <v>227.04663376445166</v>
      </c>
      <c r="M33" s="1">
        <f t="shared" si="7"/>
        <v>615.14742155887848</v>
      </c>
      <c r="N33" s="1">
        <f t="shared" si="0"/>
        <v>8.9391076115485548E-3</v>
      </c>
      <c r="O33" s="1">
        <f t="shared" si="1"/>
        <v>-4.0000000000000001E-3</v>
      </c>
      <c r="P33" s="1">
        <f t="shared" si="8"/>
        <v>615.14495210713426</v>
      </c>
      <c r="Q33" s="1">
        <f t="shared" si="9"/>
        <v>231.97172343396252</v>
      </c>
      <c r="R33" s="1">
        <f t="shared" si="10"/>
        <v>620.07251122838932</v>
      </c>
      <c r="S33" s="1">
        <f t="shared" si="2"/>
        <v>4.9391076115485556E-3</v>
      </c>
      <c r="T33" s="1">
        <f t="shared" si="11"/>
        <v>0</v>
      </c>
      <c r="U33" s="1">
        <f t="shared" si="12"/>
        <v>620.07004168933679</v>
      </c>
      <c r="V33" s="11">
        <f t="shared" si="13"/>
        <v>620.07004168933679</v>
      </c>
      <c r="W33" s="40">
        <f t="shared" si="14"/>
        <v>1.0001129704666722</v>
      </c>
      <c r="X33" s="19">
        <f t="shared" si="17"/>
        <v>1</v>
      </c>
    </row>
    <row r="34" spans="6:24" x14ac:dyDescent="0.3">
      <c r="F34">
        <f t="shared" si="3"/>
        <v>4.3705196019752098E-2</v>
      </c>
      <c r="G34" s="18">
        <f t="shared" si="15"/>
        <v>17</v>
      </c>
      <c r="H34" s="6">
        <f t="shared" si="16"/>
        <v>1600</v>
      </c>
      <c r="I34" s="43">
        <v>22.880574647189789</v>
      </c>
      <c r="J34" s="1">
        <f t="shared" si="4"/>
        <v>2.4695538057742782E-3</v>
      </c>
      <c r="K34" s="1">
        <f t="shared" si="5"/>
        <v>413.97153945666236</v>
      </c>
      <c r="L34" s="1">
        <f t="shared" si="6"/>
        <v>201.48095365105718</v>
      </c>
      <c r="M34" s="1">
        <f t="shared" si="7"/>
        <v>615.45496266152531</v>
      </c>
      <c r="N34" s="1">
        <f t="shared" si="0"/>
        <v>8.9391076115485548E-3</v>
      </c>
      <c r="O34" s="1">
        <f t="shared" si="1"/>
        <v>-4.0000000000000001E-3</v>
      </c>
      <c r="P34" s="1">
        <f t="shared" si="8"/>
        <v>615.45249320973005</v>
      </c>
      <c r="Q34" s="1">
        <f t="shared" si="9"/>
        <v>205.85147325303242</v>
      </c>
      <c r="R34" s="1">
        <f t="shared" si="10"/>
        <v>619.82548226350059</v>
      </c>
      <c r="S34" s="1">
        <f t="shared" si="2"/>
        <v>4.9391076115485556E-3</v>
      </c>
      <c r="T34" s="1">
        <f t="shared" si="11"/>
        <v>0</v>
      </c>
      <c r="U34" s="1">
        <f t="shared" si="12"/>
        <v>619.82301272445397</v>
      </c>
      <c r="V34" s="11">
        <f t="shared" si="13"/>
        <v>619.82301272445397</v>
      </c>
      <c r="W34" s="40">
        <f t="shared" si="14"/>
        <v>0.99971453665234511</v>
      </c>
      <c r="X34" s="19">
        <f t="shared" si="17"/>
        <v>1</v>
      </c>
    </row>
    <row r="35" spans="6:24" x14ac:dyDescent="0.3">
      <c r="F35">
        <f t="shared" si="3"/>
        <v>3.8244714384694338E-2</v>
      </c>
      <c r="G35" s="18">
        <f t="shared" si="15"/>
        <v>18</v>
      </c>
      <c r="H35" s="6">
        <f t="shared" si="16"/>
        <v>1700</v>
      </c>
      <c r="I35" s="43">
        <v>26.147404055400749</v>
      </c>
      <c r="J35" s="1">
        <f t="shared" si="4"/>
        <v>2.4695538057742782E-3</v>
      </c>
      <c r="K35" s="1">
        <f t="shared" si="5"/>
        <v>439.84476067270373</v>
      </c>
      <c r="L35" s="1">
        <f t="shared" si="6"/>
        <v>176.30813331344089</v>
      </c>
      <c r="M35" s="1">
        <f t="shared" si="7"/>
        <v>616.15536353995037</v>
      </c>
      <c r="N35" s="1">
        <f t="shared" si="0"/>
        <v>8.9391076115485548E-3</v>
      </c>
      <c r="O35" s="1">
        <f t="shared" si="1"/>
        <v>-4.0000000000000001E-3</v>
      </c>
      <c r="P35" s="1">
        <f t="shared" si="8"/>
        <v>616.15289408803926</v>
      </c>
      <c r="Q35" s="1">
        <f t="shared" si="9"/>
        <v>180.13260475191032</v>
      </c>
      <c r="R35" s="1">
        <f t="shared" si="10"/>
        <v>619.97983497841983</v>
      </c>
      <c r="S35" s="1">
        <f t="shared" si="2"/>
        <v>4.9391076115485556E-3</v>
      </c>
      <c r="T35" s="1">
        <f t="shared" si="11"/>
        <v>0</v>
      </c>
      <c r="U35" s="1">
        <f t="shared" si="12"/>
        <v>619.97736543936946</v>
      </c>
      <c r="V35" s="11">
        <f t="shared" si="13"/>
        <v>619.97736543936946</v>
      </c>
      <c r="W35" s="40">
        <f t="shared" si="14"/>
        <v>0.9999634926441443</v>
      </c>
      <c r="X35" s="19">
        <f t="shared" si="17"/>
        <v>1</v>
      </c>
    </row>
    <row r="36" spans="6:24" x14ac:dyDescent="0.3">
      <c r="F36">
        <f t="shared" si="3"/>
        <v>3.2747914256156113E-2</v>
      </c>
      <c r="G36" s="18">
        <f t="shared" si="15"/>
        <v>19</v>
      </c>
      <c r="H36" s="6">
        <f t="shared" si="16"/>
        <v>1800</v>
      </c>
      <c r="I36" s="43">
        <v>30.53629590507478</v>
      </c>
      <c r="J36" s="1">
        <f t="shared" si="4"/>
        <v>2.4695538057742782E-3</v>
      </c>
      <c r="K36" s="1">
        <f t="shared" si="5"/>
        <v>465.71798188874516</v>
      </c>
      <c r="L36" s="1">
        <f t="shared" si="6"/>
        <v>150.96788472087971</v>
      </c>
      <c r="M36" s="1">
        <f t="shared" si="7"/>
        <v>616.68833616343068</v>
      </c>
      <c r="N36" s="1">
        <f t="shared" si="0"/>
        <v>8.9391076115485548E-3</v>
      </c>
      <c r="O36" s="1">
        <f t="shared" si="1"/>
        <v>-4.0000000000000001E-3</v>
      </c>
      <c r="P36" s="1">
        <f t="shared" si="8"/>
        <v>616.68586671143134</v>
      </c>
      <c r="Q36" s="1">
        <f t="shared" si="9"/>
        <v>154.24267614649531</v>
      </c>
      <c r="R36" s="1">
        <f t="shared" si="10"/>
        <v>619.96312758904628</v>
      </c>
      <c r="S36" s="1">
        <f t="shared" si="2"/>
        <v>4.9391076115485556E-3</v>
      </c>
      <c r="T36" s="1">
        <f t="shared" si="11"/>
        <v>0</v>
      </c>
      <c r="U36" s="1">
        <f t="shared" si="12"/>
        <v>619.96065804999637</v>
      </c>
      <c r="V36" s="11">
        <f t="shared" si="13"/>
        <v>619.96065804999637</v>
      </c>
      <c r="W36" s="40">
        <f t="shared" si="14"/>
        <v>0.99993654524192965</v>
      </c>
      <c r="X36" s="19">
        <f t="shared" si="17"/>
        <v>1</v>
      </c>
    </row>
    <row r="37" spans="6:24" x14ac:dyDescent="0.3">
      <c r="G37" s="18">
        <f t="shared" si="15"/>
        <v>20</v>
      </c>
      <c r="H37" s="6">
        <f t="shared" si="16"/>
        <v>1900</v>
      </c>
      <c r="I37" s="43">
        <v>36.68982652805375</v>
      </c>
      <c r="J37" s="1">
        <f t="shared" si="4"/>
        <v>2.4695538057742782E-3</v>
      </c>
      <c r="K37" s="1">
        <f t="shared" si="5"/>
        <v>491.59120310478653</v>
      </c>
      <c r="L37" s="1">
        <f t="shared" si="6"/>
        <v>125.64790941366553</v>
      </c>
      <c r="M37" s="1">
        <f t="shared" si="7"/>
        <v>617.24158207225787</v>
      </c>
      <c r="N37" s="1">
        <f t="shared" si="0"/>
        <v>8.9391076115485548E-3</v>
      </c>
      <c r="O37" s="1">
        <f t="shared" si="1"/>
        <v>-4.0000000000000001E-3</v>
      </c>
      <c r="P37" s="1">
        <f t="shared" si="8"/>
        <v>617.23911262016736</v>
      </c>
      <c r="Q37" s="1">
        <f t="shared" si="9"/>
        <v>128.37346059400534</v>
      </c>
      <c r="R37" s="1">
        <f t="shared" si="10"/>
        <v>619.9671332525977</v>
      </c>
      <c r="S37" s="1">
        <f t="shared" si="2"/>
        <v>4.9391076115485556E-3</v>
      </c>
      <c r="T37" s="1">
        <f t="shared" si="11"/>
        <v>0</v>
      </c>
      <c r="U37" s="1">
        <f t="shared" si="12"/>
        <v>619.96466371354768</v>
      </c>
      <c r="V37" s="11">
        <f t="shared" si="13"/>
        <v>619.96466371354768</v>
      </c>
      <c r="W37" s="43">
        <f t="shared" ref="W37" si="18">V37/($C$9*$C$18)</f>
        <v>0.99994300598959307</v>
      </c>
      <c r="X37" s="19">
        <f t="shared" si="17"/>
        <v>1</v>
      </c>
    </row>
    <row r="38" spans="6:24" x14ac:dyDescent="0.3">
      <c r="G38" s="47">
        <f t="shared" si="15"/>
        <v>21</v>
      </c>
      <c r="H38" s="6">
        <f t="shared" si="16"/>
        <v>2000</v>
      </c>
      <c r="I38" s="46">
        <v>45.974966272500914</v>
      </c>
      <c r="J38" s="1">
        <f t="shared" si="4"/>
        <v>2.4695538057742782E-3</v>
      </c>
      <c r="K38" s="1">
        <f t="shared" ref="K38:K43" si="19">$C$6*0.001*H38/$C$5</f>
        <v>517.4644243208279</v>
      </c>
      <c r="L38" s="1">
        <f t="shared" ref="L38:L43" si="20">$C$6*((0.5*$C$11)/I38)</f>
        <v>100.2719604550833</v>
      </c>
      <c r="M38" s="1">
        <f t="shared" ref="M38:M43" si="21">J38+K38+L38</f>
        <v>617.73885432971701</v>
      </c>
      <c r="N38" s="1">
        <f t="shared" si="0"/>
        <v>8.9391076115485548E-3</v>
      </c>
      <c r="O38" s="1">
        <f t="shared" si="1"/>
        <v>-4.0000000000000001E-3</v>
      </c>
      <c r="P38" s="1">
        <f t="shared" ref="P38:P43" si="22">SQRT((N38-M38)^2+(M38-O38)^2+(O38-N38)^2)/SQRT(2)</f>
        <v>617.73638487754465</v>
      </c>
      <c r="Q38" s="1">
        <f t="shared" ref="Q38:Q43" si="23">$C$6*((0.5*$C$10)/I38)</f>
        <v>102.44705721115885</v>
      </c>
      <c r="R38" s="1">
        <f t="shared" ref="R38:R43" si="24">J38+K38+Q38</f>
        <v>619.91395108579252</v>
      </c>
      <c r="S38" s="1">
        <f t="shared" si="2"/>
        <v>4.9391076115485556E-3</v>
      </c>
      <c r="T38" s="1">
        <f t="shared" si="11"/>
        <v>0</v>
      </c>
      <c r="U38" s="1">
        <f t="shared" ref="U38:U43" si="25">SQRT((S38-R38)^2+(R38-T38)^2+(T38-S38)^2)/SQRT(2)</f>
        <v>619.91148154674374</v>
      </c>
      <c r="V38" s="11">
        <f t="shared" ref="V38:V43" si="26">MAX(P38,U38)</f>
        <v>619.91148154674374</v>
      </c>
      <c r="W38" s="46">
        <f t="shared" ref="W38:W43" si="27">V38/($C$9*$C$18)</f>
        <v>0.99985722830119961</v>
      </c>
      <c r="X38" s="19">
        <f t="shared" si="17"/>
        <v>1</v>
      </c>
    </row>
    <row r="39" spans="6:24" x14ac:dyDescent="0.3">
      <c r="G39" s="47">
        <f t="shared" si="15"/>
        <v>22</v>
      </c>
      <c r="H39" s="6">
        <f t="shared" si="16"/>
        <v>2100</v>
      </c>
      <c r="I39" s="46">
        <v>61.48143857094874</v>
      </c>
      <c r="J39" s="1">
        <f t="shared" si="4"/>
        <v>2.4695538057742782E-3</v>
      </c>
      <c r="K39" s="1">
        <f t="shared" si="19"/>
        <v>543.33764553686933</v>
      </c>
      <c r="L39" s="1">
        <f t="shared" si="20"/>
        <v>74.981980043946493</v>
      </c>
      <c r="M39" s="1">
        <f t="shared" si="21"/>
        <v>618.32209513462158</v>
      </c>
      <c r="N39" s="1">
        <f t="shared" si="0"/>
        <v>8.9391076115485548E-3</v>
      </c>
      <c r="O39" s="1">
        <f t="shared" si="1"/>
        <v>-4.0000000000000001E-3</v>
      </c>
      <c r="P39" s="1">
        <f t="shared" si="22"/>
        <v>618.31962568235326</v>
      </c>
      <c r="Q39" s="1">
        <f t="shared" si="23"/>
        <v>76.608487203251187</v>
      </c>
      <c r="R39" s="1">
        <f t="shared" si="24"/>
        <v>619.94860229392634</v>
      </c>
      <c r="S39" s="1">
        <f t="shared" si="2"/>
        <v>4.9391076115485556E-3</v>
      </c>
      <c r="T39" s="1">
        <f t="shared" si="11"/>
        <v>0</v>
      </c>
      <c r="U39" s="1">
        <f t="shared" si="25"/>
        <v>619.94613275487677</v>
      </c>
      <c r="V39" s="11">
        <f t="shared" si="26"/>
        <v>619.94613275487677</v>
      </c>
      <c r="W39" s="46">
        <f t="shared" si="27"/>
        <v>0.9999131173465754</v>
      </c>
      <c r="X39" s="19">
        <f t="shared" si="17"/>
        <v>1</v>
      </c>
    </row>
    <row r="40" spans="6:24" x14ac:dyDescent="0.3">
      <c r="G40" s="47">
        <f t="shared" si="15"/>
        <v>23</v>
      </c>
      <c r="H40" s="6">
        <f t="shared" si="16"/>
        <v>2200</v>
      </c>
      <c r="I40" s="46">
        <v>91.714438361521914</v>
      </c>
      <c r="J40" s="1">
        <f t="shared" si="4"/>
        <v>2.4695538057742782E-3</v>
      </c>
      <c r="K40" s="1">
        <f t="shared" si="19"/>
        <v>569.21086675291076</v>
      </c>
      <c r="L40" s="1">
        <f t="shared" si="20"/>
        <v>50.264713848306023</v>
      </c>
      <c r="M40" s="1">
        <f t="shared" si="21"/>
        <v>619.47805015502252</v>
      </c>
      <c r="N40" s="1">
        <f t="shared" si="0"/>
        <v>8.9391076115485548E-3</v>
      </c>
      <c r="O40" s="1">
        <f t="shared" si="1"/>
        <v>-4.0000000000000001E-3</v>
      </c>
      <c r="P40" s="1">
        <f t="shared" si="22"/>
        <v>619.4755807025648</v>
      </c>
      <c r="Q40" s="1">
        <f t="shared" si="23"/>
        <v>51.355054712694447</v>
      </c>
      <c r="R40" s="1">
        <f t="shared" si="24"/>
        <v>620.56839101941102</v>
      </c>
      <c r="S40" s="1">
        <f t="shared" si="2"/>
        <v>4.9391076115485556E-3</v>
      </c>
      <c r="T40" s="1">
        <f t="shared" si="11"/>
        <v>0</v>
      </c>
      <c r="U40" s="1">
        <f t="shared" si="25"/>
        <v>620.56592148034667</v>
      </c>
      <c r="V40" s="11">
        <f t="shared" si="26"/>
        <v>620.56592148034667</v>
      </c>
      <c r="W40" s="46">
        <f t="shared" si="27"/>
        <v>1.0009127765812043</v>
      </c>
      <c r="X40" s="19">
        <f t="shared" si="17"/>
        <v>1</v>
      </c>
    </row>
    <row r="41" spans="6:24" x14ac:dyDescent="0.3">
      <c r="G41" s="47">
        <f t="shared" si="15"/>
        <v>24</v>
      </c>
      <c r="H41" s="6">
        <f t="shared" si="16"/>
        <v>2300</v>
      </c>
      <c r="I41" s="46">
        <v>188.41161863794434</v>
      </c>
      <c r="J41" s="1">
        <f t="shared" si="4"/>
        <v>2.4695538057742782E-3</v>
      </c>
      <c r="K41" s="1">
        <f t="shared" si="19"/>
        <v>595.08408796895219</v>
      </c>
      <c r="L41" s="1">
        <f t="shared" si="20"/>
        <v>24.467705512676854</v>
      </c>
      <c r="M41" s="1">
        <f t="shared" si="21"/>
        <v>619.55426303543481</v>
      </c>
      <c r="N41" s="1">
        <f t="shared" si="0"/>
        <v>8.9391076115485548E-3</v>
      </c>
      <c r="O41" s="1">
        <f t="shared" si="1"/>
        <v>-4.0000000000000001E-3</v>
      </c>
      <c r="P41" s="1">
        <f t="shared" si="22"/>
        <v>619.55179358296471</v>
      </c>
      <c r="Q41" s="1">
        <f t="shared" si="23"/>
        <v>24.998458343754447</v>
      </c>
      <c r="R41" s="1">
        <f t="shared" si="24"/>
        <v>620.08501586651244</v>
      </c>
      <c r="S41" s="1">
        <f t="shared" si="2"/>
        <v>4.9391076115485556E-3</v>
      </c>
      <c r="T41" s="1">
        <f t="shared" si="11"/>
        <v>0</v>
      </c>
      <c r="U41" s="1">
        <f t="shared" si="25"/>
        <v>620.08254632745957</v>
      </c>
      <c r="V41" s="11">
        <f t="shared" si="26"/>
        <v>620.08254632745957</v>
      </c>
      <c r="W41" s="46">
        <f t="shared" si="27"/>
        <v>1.0001331392378381</v>
      </c>
      <c r="X41" s="19">
        <f t="shared" si="17"/>
        <v>1</v>
      </c>
    </row>
    <row r="42" spans="6:24" x14ac:dyDescent="0.3">
      <c r="G42" s="47">
        <f t="shared" si="15"/>
        <v>25</v>
      </c>
      <c r="H42" s="6">
        <f t="shared" si="16"/>
        <v>2400</v>
      </c>
      <c r="I42" s="46">
        <v>9.1429012078176304E+16</v>
      </c>
      <c r="J42" s="1">
        <f t="shared" si="4"/>
        <v>2.4695538057742782E-3</v>
      </c>
      <c r="K42" s="1">
        <f t="shared" si="19"/>
        <v>620.95730918499351</v>
      </c>
      <c r="L42" s="1">
        <f t="shared" si="20"/>
        <v>5.0421631987647673E-14</v>
      </c>
      <c r="M42" s="1">
        <f t="shared" si="21"/>
        <v>620.95977873879929</v>
      </c>
      <c r="N42" s="1">
        <f t="shared" si="0"/>
        <v>8.9391076115485548E-3</v>
      </c>
      <c r="O42" s="1">
        <f t="shared" si="1"/>
        <v>-4.0000000000000001E-3</v>
      </c>
      <c r="P42" s="1">
        <f t="shared" si="22"/>
        <v>620.95730928609976</v>
      </c>
      <c r="Q42" s="1">
        <f t="shared" si="23"/>
        <v>5.1515376716230062E-14</v>
      </c>
      <c r="R42" s="1">
        <f t="shared" si="24"/>
        <v>620.95977873879929</v>
      </c>
      <c r="S42" s="1">
        <f t="shared" si="2"/>
        <v>4.9391076115485556E-3</v>
      </c>
      <c r="T42" s="1">
        <f t="shared" si="11"/>
        <v>0</v>
      </c>
      <c r="U42" s="1">
        <f t="shared" si="25"/>
        <v>620.95730919972561</v>
      </c>
      <c r="V42" s="11">
        <f t="shared" si="26"/>
        <v>620.95730928609976</v>
      </c>
      <c r="W42" s="46">
        <f t="shared" si="27"/>
        <v>1.0015440472356447</v>
      </c>
      <c r="X42" s="19">
        <f t="shared" si="17"/>
        <v>1</v>
      </c>
    </row>
    <row r="43" spans="6:24" x14ac:dyDescent="0.3">
      <c r="G43" s="47">
        <f t="shared" si="15"/>
        <v>26</v>
      </c>
      <c r="H43" s="6">
        <f t="shared" si="16"/>
        <v>2500</v>
      </c>
      <c r="I43" s="46">
        <v>1.1934548117862498E+17</v>
      </c>
      <c r="J43" s="1">
        <f t="shared" si="4"/>
        <v>2.4695538057742782E-3</v>
      </c>
      <c r="K43" s="1">
        <f t="shared" si="19"/>
        <v>646.83053040103493</v>
      </c>
      <c r="L43" s="1">
        <f t="shared" si="20"/>
        <v>3.8627352744928735E-14</v>
      </c>
      <c r="M43" s="1">
        <f t="shared" si="21"/>
        <v>646.83299995484072</v>
      </c>
      <c r="N43" s="1">
        <f t="shared" si="0"/>
        <v>8.9391076115485548E-3</v>
      </c>
      <c r="O43" s="1">
        <f t="shared" si="1"/>
        <v>-4.0000000000000001E-3</v>
      </c>
      <c r="P43" s="1">
        <f t="shared" si="22"/>
        <v>646.83053049809689</v>
      </c>
      <c r="Q43" s="1">
        <f t="shared" si="23"/>
        <v>3.9465256275187497E-14</v>
      </c>
      <c r="R43" s="1">
        <f t="shared" si="24"/>
        <v>646.83299995484072</v>
      </c>
      <c r="S43" s="1">
        <f t="shared" si="2"/>
        <v>4.9391076115485556E-3</v>
      </c>
      <c r="T43" s="1">
        <f t="shared" si="11"/>
        <v>0</v>
      </c>
      <c r="U43" s="1">
        <f t="shared" si="25"/>
        <v>646.8305304151778</v>
      </c>
      <c r="V43" s="11">
        <f t="shared" si="26"/>
        <v>646.83053049809689</v>
      </c>
      <c r="W43" s="46">
        <f t="shared" si="27"/>
        <v>1.0432750491904788</v>
      </c>
      <c r="X43" s="19">
        <f t="shared" si="17"/>
        <v>1</v>
      </c>
    </row>
  </sheetData>
  <mergeCells count="22">
    <mergeCell ref="C8:D8"/>
    <mergeCell ref="O8:R8"/>
    <mergeCell ref="I2:R2"/>
    <mergeCell ref="B3:D3"/>
    <mergeCell ref="O5:R5"/>
    <mergeCell ref="O6:R6"/>
    <mergeCell ref="O7:R7"/>
    <mergeCell ref="O9:R9"/>
    <mergeCell ref="O10:R10"/>
    <mergeCell ref="O11:R11"/>
    <mergeCell ref="G15:G17"/>
    <mergeCell ref="H15:H16"/>
    <mergeCell ref="I15:I16"/>
    <mergeCell ref="J15:J16"/>
    <mergeCell ref="K15:K16"/>
    <mergeCell ref="L15:P15"/>
    <mergeCell ref="Q15:U15"/>
    <mergeCell ref="V15:V16"/>
    <mergeCell ref="W15:W16"/>
    <mergeCell ref="X15:X16"/>
    <mergeCell ref="C17:D17"/>
    <mergeCell ref="C18:D18"/>
  </mergeCells>
  <dataValidations count="1">
    <dataValidation type="list" allowBlank="1" showInputMessage="1" showErrorMessage="1" prompt="Select applicable condition" sqref="C17:D17" xr:uid="{F9CD02E3-0945-4371-9408-68F73A502B72}">
      <formula1>Condition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Goalseek">
                <anchor moveWithCells="1" sizeWithCells="1">
                  <from>
                    <xdr:col>23</xdr:col>
                    <xdr:colOff>76200</xdr:colOff>
                    <xdr:row>12</xdr:row>
                    <xdr:rowOff>7620</xdr:rowOff>
                  </from>
                  <to>
                    <xdr:col>23</xdr:col>
                    <xdr:colOff>838200</xdr:colOff>
                    <xdr:row>13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FB154-97A7-4C27-9902-F8F2BC38D048}">
  <sheetPr codeName="Sheet11"/>
  <dimension ref="B2:X35"/>
  <sheetViews>
    <sheetView topLeftCell="A4" workbookViewId="0">
      <selection activeCell="M36" sqref="M36"/>
    </sheetView>
  </sheetViews>
  <sheetFormatPr defaultRowHeight="14.4" x14ac:dyDescent="0.3"/>
  <cols>
    <col min="2" max="2" width="13.33203125" customWidth="1"/>
    <col min="9" max="9" width="12.33203125" customWidth="1"/>
    <col min="23" max="23" width="12.88671875" customWidth="1"/>
    <col min="24" max="24" width="13.33203125" customWidth="1"/>
  </cols>
  <sheetData>
    <row r="2" spans="2:24" ht="21" x14ac:dyDescent="0.4">
      <c r="I2" s="72" t="s">
        <v>48</v>
      </c>
      <c r="J2" s="72"/>
      <c r="K2" s="72"/>
      <c r="L2" s="72"/>
      <c r="M2" s="72"/>
      <c r="N2" s="72"/>
      <c r="O2" s="72"/>
      <c r="P2" s="72"/>
      <c r="Q2" s="72"/>
      <c r="R2" s="72"/>
    </row>
    <row r="3" spans="2:24" x14ac:dyDescent="0.3">
      <c r="B3" s="70" t="s">
        <v>4</v>
      </c>
      <c r="C3" s="73"/>
      <c r="D3" s="71"/>
      <c r="L3" s="2"/>
    </row>
    <row r="4" spans="2:24" x14ac:dyDescent="0.3">
      <c r="B4" s="5" t="s">
        <v>0</v>
      </c>
      <c r="C4" s="8">
        <f>F5/1000</f>
        <v>0</v>
      </c>
      <c r="D4" s="6" t="s">
        <v>1</v>
      </c>
    </row>
    <row r="5" spans="2:24" ht="16.2" x14ac:dyDescent="0.35">
      <c r="B5" s="5" t="s">
        <v>2</v>
      </c>
      <c r="C5" s="6">
        <v>846</v>
      </c>
      <c r="D5" s="6" t="s">
        <v>3</v>
      </c>
      <c r="I5" s="33" t="s">
        <v>45</v>
      </c>
      <c r="J5" s="14" t="s">
        <v>46</v>
      </c>
      <c r="N5" s="3" t="s">
        <v>30</v>
      </c>
      <c r="O5" s="68" t="s">
        <v>38</v>
      </c>
      <c r="P5" s="68"/>
      <c r="Q5" s="68"/>
      <c r="R5" s="68"/>
    </row>
    <row r="6" spans="2:24" ht="15.6" x14ac:dyDescent="0.35">
      <c r="B6" s="5" t="s">
        <v>116</v>
      </c>
      <c r="C6" s="6">
        <v>210000</v>
      </c>
      <c r="D6" s="6" t="s">
        <v>40</v>
      </c>
      <c r="I6" s="5" t="s">
        <v>41</v>
      </c>
      <c r="J6" s="34">
        <v>0.8</v>
      </c>
      <c r="N6" s="3" t="s">
        <v>16</v>
      </c>
      <c r="O6" s="68" t="s">
        <v>28</v>
      </c>
      <c r="P6" s="68"/>
      <c r="Q6" s="68"/>
      <c r="R6" s="68"/>
    </row>
    <row r="7" spans="2:24" ht="15.6" x14ac:dyDescent="0.35">
      <c r="I7" s="5" t="s">
        <v>42</v>
      </c>
      <c r="J7" s="34">
        <v>0.96</v>
      </c>
      <c r="N7" s="3" t="s">
        <v>15</v>
      </c>
      <c r="O7" s="68" t="s">
        <v>14</v>
      </c>
      <c r="P7" s="68"/>
      <c r="Q7" s="68"/>
      <c r="R7" s="68"/>
    </row>
    <row r="8" spans="2:24" ht="15.6" x14ac:dyDescent="0.3">
      <c r="B8" s="33" t="s">
        <v>5</v>
      </c>
      <c r="C8" s="70" t="s">
        <v>89</v>
      </c>
      <c r="D8" s="71"/>
      <c r="I8" s="5" t="s">
        <v>43</v>
      </c>
      <c r="J8" s="34">
        <v>1</v>
      </c>
      <c r="N8" s="4" t="s">
        <v>29</v>
      </c>
      <c r="O8" s="68" t="s">
        <v>37</v>
      </c>
      <c r="P8" s="68"/>
      <c r="Q8" s="68"/>
      <c r="R8" s="68"/>
    </row>
    <row r="9" spans="2:24" ht="15.6" x14ac:dyDescent="0.35">
      <c r="B9" s="5" t="s">
        <v>39</v>
      </c>
      <c r="C9" s="6">
        <v>640</v>
      </c>
      <c r="D9" s="6" t="s">
        <v>40</v>
      </c>
      <c r="E9" s="12"/>
      <c r="I9" s="5" t="s">
        <v>44</v>
      </c>
      <c r="J9" s="34">
        <v>1</v>
      </c>
      <c r="N9" s="4" t="s">
        <v>31</v>
      </c>
      <c r="O9" s="68" t="s">
        <v>36</v>
      </c>
      <c r="P9" s="68"/>
      <c r="Q9" s="68"/>
      <c r="R9" s="68"/>
    </row>
    <row r="10" spans="2:24" ht="14.4" customHeight="1" x14ac:dyDescent="0.3">
      <c r="B10" s="5" t="s">
        <v>0</v>
      </c>
      <c r="C10" s="7">
        <f>0.001*2*E10</f>
        <v>3.0519999999999999E-2</v>
      </c>
      <c r="D10" s="6" t="s">
        <v>1</v>
      </c>
      <c r="E10">
        <v>15.26</v>
      </c>
      <c r="N10" s="4" t="s">
        <v>32</v>
      </c>
      <c r="O10" s="68" t="s">
        <v>35</v>
      </c>
      <c r="P10" s="68"/>
      <c r="Q10" s="68"/>
      <c r="R10" s="68"/>
    </row>
    <row r="11" spans="2:24" ht="15.6" x14ac:dyDescent="0.3">
      <c r="B11" s="5" t="s">
        <v>6</v>
      </c>
      <c r="C11" s="7">
        <f>C10-2*C12</f>
        <v>2.5399999999999999E-2</v>
      </c>
      <c r="D11" s="6" t="s">
        <v>1</v>
      </c>
      <c r="E11" s="31"/>
      <c r="F11" s="31"/>
      <c r="N11" s="4" t="s">
        <v>33</v>
      </c>
      <c r="O11" s="68" t="s">
        <v>34</v>
      </c>
      <c r="P11" s="68"/>
      <c r="Q11" s="68"/>
      <c r="R11" s="68"/>
    </row>
    <row r="12" spans="2:24" x14ac:dyDescent="0.3">
      <c r="B12" s="5" t="s">
        <v>7</v>
      </c>
      <c r="C12" s="7">
        <f>2.56*0.001</f>
        <v>2.5600000000000002E-3</v>
      </c>
      <c r="D12" s="6" t="s">
        <v>1</v>
      </c>
      <c r="E12" s="31"/>
      <c r="F12" s="31"/>
      <c r="N12" s="2"/>
    </row>
    <row r="13" spans="2:24" ht="15.6" x14ac:dyDescent="0.35">
      <c r="B13" s="5" t="s">
        <v>49</v>
      </c>
      <c r="C13" s="6">
        <v>69</v>
      </c>
      <c r="D13" s="6" t="s">
        <v>40</v>
      </c>
    </row>
    <row r="14" spans="2:24" ht="15.6" x14ac:dyDescent="0.35">
      <c r="B14" s="5" t="s">
        <v>50</v>
      </c>
      <c r="C14" s="11">
        <v>0</v>
      </c>
      <c r="D14" s="6" t="s">
        <v>40</v>
      </c>
    </row>
    <row r="15" spans="2:24" ht="15.6" customHeight="1" x14ac:dyDescent="0.3">
      <c r="G15" s="69" t="s">
        <v>8</v>
      </c>
      <c r="H15" s="69" t="s">
        <v>9</v>
      </c>
      <c r="I15" s="69" t="s">
        <v>10</v>
      </c>
      <c r="J15" s="69" t="s">
        <v>15</v>
      </c>
      <c r="K15" s="69" t="s">
        <v>16</v>
      </c>
      <c r="L15" s="69" t="s">
        <v>51</v>
      </c>
      <c r="M15" s="69"/>
      <c r="N15" s="69"/>
      <c r="O15" s="69"/>
      <c r="P15" s="69"/>
      <c r="Q15" s="69" t="s">
        <v>52</v>
      </c>
      <c r="R15" s="69"/>
      <c r="S15" s="69"/>
      <c r="T15" s="69"/>
      <c r="U15" s="69"/>
      <c r="V15" s="63" t="s">
        <v>27</v>
      </c>
      <c r="W15" s="64" t="s">
        <v>74</v>
      </c>
      <c r="X15" s="67" t="s">
        <v>69</v>
      </c>
    </row>
    <row r="16" spans="2:24" ht="15.6" x14ac:dyDescent="0.3">
      <c r="B16" s="10" t="s">
        <v>53</v>
      </c>
      <c r="C16" s="6">
        <v>1790</v>
      </c>
      <c r="D16" s="15" t="s">
        <v>1</v>
      </c>
      <c r="G16" s="69"/>
      <c r="H16" s="69"/>
      <c r="I16" s="69"/>
      <c r="J16" s="69"/>
      <c r="K16" s="69"/>
      <c r="L16" s="32" t="s">
        <v>17</v>
      </c>
      <c r="M16" s="32" t="s">
        <v>18</v>
      </c>
      <c r="N16" s="32" t="s">
        <v>19</v>
      </c>
      <c r="O16" s="32" t="s">
        <v>20</v>
      </c>
      <c r="P16" s="32" t="s">
        <v>21</v>
      </c>
      <c r="Q16" s="32" t="s">
        <v>22</v>
      </c>
      <c r="R16" s="32" t="s">
        <v>23</v>
      </c>
      <c r="S16" s="32" t="s">
        <v>24</v>
      </c>
      <c r="T16" s="32" t="s">
        <v>25</v>
      </c>
      <c r="U16" s="32" t="s">
        <v>26</v>
      </c>
      <c r="V16" s="63"/>
      <c r="W16" s="64"/>
      <c r="X16" s="67"/>
    </row>
    <row r="17" spans="2:24" x14ac:dyDescent="0.3">
      <c r="B17" s="10" t="s">
        <v>45</v>
      </c>
      <c r="C17" s="65" t="s">
        <v>41</v>
      </c>
      <c r="D17" s="65"/>
      <c r="G17" s="69"/>
      <c r="H17" s="32" t="s">
        <v>13</v>
      </c>
      <c r="I17" s="32" t="s">
        <v>12</v>
      </c>
      <c r="J17" s="32" t="s">
        <v>11</v>
      </c>
      <c r="K17" s="32" t="s">
        <v>11</v>
      </c>
      <c r="L17" s="32" t="s">
        <v>11</v>
      </c>
      <c r="M17" s="32" t="s">
        <v>11</v>
      </c>
      <c r="N17" s="32" t="s">
        <v>11</v>
      </c>
      <c r="O17" s="32" t="s">
        <v>11</v>
      </c>
      <c r="P17" s="32" t="s">
        <v>11</v>
      </c>
      <c r="Q17" s="32" t="s">
        <v>11</v>
      </c>
      <c r="R17" s="32" t="s">
        <v>11</v>
      </c>
      <c r="S17" s="32" t="s">
        <v>11</v>
      </c>
      <c r="T17" s="32" t="s">
        <v>11</v>
      </c>
      <c r="U17" s="32" t="s">
        <v>11</v>
      </c>
      <c r="V17" s="32" t="s">
        <v>11</v>
      </c>
      <c r="W17" s="32" t="s">
        <v>47</v>
      </c>
      <c r="X17" s="32" t="s">
        <v>47</v>
      </c>
    </row>
    <row r="18" spans="2:24" ht="13.2" customHeight="1" x14ac:dyDescent="0.35">
      <c r="B18" s="9" t="s">
        <v>46</v>
      </c>
      <c r="C18" s="66">
        <v>0.8</v>
      </c>
      <c r="D18" s="66"/>
      <c r="F18">
        <f>1/I18</f>
        <v>0.12519455006726152</v>
      </c>
      <c r="G18" s="18">
        <v>1</v>
      </c>
      <c r="H18" s="6">
        <v>0</v>
      </c>
      <c r="I18" s="19">
        <v>7.9875681446416316</v>
      </c>
      <c r="J18" s="1">
        <f>($C$13-$C$14)*($C$10-2*$C$12)^2/($C$10^2-($C$10-2*$C$12)^2)</f>
        <v>155.48174289163094</v>
      </c>
      <c r="K18" s="1">
        <f>$C$6*0.001*H18/$C$5</f>
        <v>0</v>
      </c>
      <c r="L18" s="1">
        <f>$C$6*((0.5*$C$11)/I18)</f>
        <v>333.89386502938646</v>
      </c>
      <c r="M18" s="1">
        <f>J18+K18+L18</f>
        <v>489.37560792101738</v>
      </c>
      <c r="N18" s="1">
        <f t="shared" ref="N18:N35" si="0">($C$13-$C$14)*($C$10^2+($C$10-2*$C$12)^2)/($C$10^2-($C$10-2*$C$12)^2)-$C$14</f>
        <v>379.96348578326189</v>
      </c>
      <c r="O18" s="1">
        <f t="shared" ref="O18:O35" si="1">-$C$13</f>
        <v>-69</v>
      </c>
      <c r="P18" s="1">
        <f>SQRT((N18-M18)^2+(M18-O18)^2+(O18-N18)^2)/SQRT(2)</f>
        <v>512.50489927341664</v>
      </c>
      <c r="Q18" s="1">
        <f>$C$6*((0.5*$C$10)/I18)</f>
        <v>401.19845514554629</v>
      </c>
      <c r="R18" s="1">
        <f>J18+K18+Q18</f>
        <v>556.68019803717721</v>
      </c>
      <c r="S18" s="1">
        <f t="shared" ref="S18:S35" si="2">($C$13-$C$14)*(2*($C$10-2*$C$12)^2/($C$10^2-($C$10-2*$C$12)^2))-$C$14</f>
        <v>310.96348578326189</v>
      </c>
      <c r="T18" s="1">
        <f>-$C$14</f>
        <v>0</v>
      </c>
      <c r="U18" s="1">
        <f>SQRT((S18-R18)^2+(R18-T18)^2+(T18-S18)^2)/SQRT(2)</f>
        <v>483.2017358505974</v>
      </c>
      <c r="V18" s="11">
        <f>MAX(P18,U18)</f>
        <v>512.50489927341664</v>
      </c>
      <c r="W18" s="8">
        <f>V18/($C$9*$C$18)</f>
        <v>1.0009861313933919</v>
      </c>
      <c r="X18" s="19">
        <v>1</v>
      </c>
    </row>
    <row r="19" spans="2:24" x14ac:dyDescent="0.3">
      <c r="F19">
        <f t="shared" ref="F19:F35" si="3">1/I19</f>
        <v>0.11561298261093968</v>
      </c>
      <c r="G19" s="18">
        <f>G18+1</f>
        <v>2</v>
      </c>
      <c r="H19" s="6">
        <f>H18+100</f>
        <v>100</v>
      </c>
      <c r="I19" s="34">
        <v>8.6495476322516112</v>
      </c>
      <c r="J19" s="1">
        <f t="shared" ref="J19:J35" si="4">($C$13-$C$14)*($C$10-2*$C$12)^2/($C$10^2-($C$10-2*$C$12)^2)</f>
        <v>155.48174289163094</v>
      </c>
      <c r="K19" s="1">
        <f t="shared" ref="K19:K35" si="5">$C$6*0.001*H19/$C$5</f>
        <v>24.822695035460992</v>
      </c>
      <c r="L19" s="1">
        <f t="shared" ref="L19:L35" si="6">$C$6*((0.5*$C$11)/I19)</f>
        <v>308.3398246233761</v>
      </c>
      <c r="M19" s="1">
        <f t="shared" ref="M19:M35" si="7">J19+K19+L19</f>
        <v>488.64426255046806</v>
      </c>
      <c r="N19" s="1">
        <f t="shared" si="0"/>
        <v>379.96348578326189</v>
      </c>
      <c r="O19" s="1">
        <f t="shared" si="1"/>
        <v>-69</v>
      </c>
      <c r="P19" s="1">
        <f t="shared" ref="P19:P35" si="8">SQRT((N19-M19)^2+(M19-O19)^2+(O19-N19)^2)/SQRT(2)</f>
        <v>512.02873276840421</v>
      </c>
      <c r="Q19" s="1">
        <f t="shared" ref="Q19:Q35" si="9">$C$6*((0.5*$C$10)/I19)</f>
        <v>370.49336407501727</v>
      </c>
      <c r="R19" s="1">
        <f t="shared" ref="R19:R35" si="10">J19+K19+Q19</f>
        <v>550.79780200210917</v>
      </c>
      <c r="S19" s="1">
        <f t="shared" si="2"/>
        <v>310.96348578326189</v>
      </c>
      <c r="T19" s="1">
        <f t="shared" ref="T19:T35" si="11">-$C$14</f>
        <v>0</v>
      </c>
      <c r="U19" s="1">
        <f t="shared" ref="U19:U35" si="12">SQRT((S19-R19)^2+(R19-T19)^2+(T19-S19)^2)/SQRT(2)</f>
        <v>478.32886564423097</v>
      </c>
      <c r="V19" s="11">
        <f t="shared" ref="V19:V35" si="13">MAX(P19,U19)</f>
        <v>512.02873276840421</v>
      </c>
      <c r="W19" s="8">
        <f t="shared" ref="W19:W35" si="14">V19/($C$9*$C$18)</f>
        <v>1.0000561186882895</v>
      </c>
      <c r="X19" s="19">
        <v>1</v>
      </c>
    </row>
    <row r="20" spans="2:24" x14ac:dyDescent="0.3">
      <c r="F20">
        <f t="shared" si="3"/>
        <v>0.10630864431636404</v>
      </c>
      <c r="G20" s="18">
        <f t="shared" ref="G20:G35" si="15">G19+1</f>
        <v>3</v>
      </c>
      <c r="H20" s="6">
        <f t="shared" ref="H20:H35" si="16">H19+100</f>
        <v>200</v>
      </c>
      <c r="I20" s="34">
        <v>9.406572780893514</v>
      </c>
      <c r="J20" s="1">
        <f t="shared" si="4"/>
        <v>155.48174289163094</v>
      </c>
      <c r="K20" s="1">
        <f t="shared" si="5"/>
        <v>49.645390070921984</v>
      </c>
      <c r="L20" s="1">
        <f t="shared" si="6"/>
        <v>283.52515439174289</v>
      </c>
      <c r="M20" s="1">
        <f t="shared" si="7"/>
        <v>488.65228735429582</v>
      </c>
      <c r="N20" s="1">
        <f t="shared" si="0"/>
        <v>379.96348578326189</v>
      </c>
      <c r="O20" s="1">
        <f t="shared" si="1"/>
        <v>-69</v>
      </c>
      <c r="P20" s="1">
        <f t="shared" si="8"/>
        <v>512.03395431606043</v>
      </c>
      <c r="Q20" s="1">
        <f t="shared" si="9"/>
        <v>340.67668157622023</v>
      </c>
      <c r="R20" s="1">
        <f t="shared" si="10"/>
        <v>545.80381453877317</v>
      </c>
      <c r="S20" s="1">
        <f t="shared" si="2"/>
        <v>310.96348578326189</v>
      </c>
      <c r="T20" s="1">
        <f t="shared" si="11"/>
        <v>0</v>
      </c>
      <c r="U20" s="1">
        <f t="shared" si="12"/>
        <v>474.20990788128256</v>
      </c>
      <c r="V20" s="11">
        <f t="shared" si="13"/>
        <v>512.03395431606043</v>
      </c>
      <c r="W20" s="8">
        <f t="shared" si="14"/>
        <v>1.0000663170235555</v>
      </c>
      <c r="X20" s="19">
        <v>1</v>
      </c>
    </row>
    <row r="21" spans="2:24" x14ac:dyDescent="0.3">
      <c r="F21">
        <f t="shared" si="3"/>
        <v>9.7005174855961329E-2</v>
      </c>
      <c r="G21" s="18">
        <f t="shared" si="15"/>
        <v>4</v>
      </c>
      <c r="H21" s="6">
        <f t="shared" si="16"/>
        <v>300</v>
      </c>
      <c r="I21" s="34">
        <v>10.308728389849877</v>
      </c>
      <c r="J21" s="1">
        <f t="shared" si="4"/>
        <v>155.48174289163094</v>
      </c>
      <c r="K21" s="1">
        <f t="shared" si="5"/>
        <v>74.468085106382972</v>
      </c>
      <c r="L21" s="1">
        <f t="shared" si="6"/>
        <v>258.71280134084884</v>
      </c>
      <c r="M21" s="1">
        <f t="shared" si="7"/>
        <v>488.66262933886276</v>
      </c>
      <c r="N21" s="1">
        <f t="shared" si="0"/>
        <v>379.96348578326189</v>
      </c>
      <c r="O21" s="1">
        <f t="shared" si="1"/>
        <v>-69</v>
      </c>
      <c r="P21" s="1">
        <f t="shared" si="8"/>
        <v>512.04068370467996</v>
      </c>
      <c r="Q21" s="1">
        <f t="shared" si="9"/>
        <v>310.86278334341364</v>
      </c>
      <c r="R21" s="1">
        <f t="shared" si="10"/>
        <v>540.81261134142756</v>
      </c>
      <c r="S21" s="1">
        <f t="shared" si="2"/>
        <v>310.96348578326189</v>
      </c>
      <c r="T21" s="1">
        <f t="shared" si="11"/>
        <v>0</v>
      </c>
      <c r="U21" s="1">
        <f t="shared" si="12"/>
        <v>470.11019484598728</v>
      </c>
      <c r="V21" s="11">
        <f t="shared" si="13"/>
        <v>512.04068370467996</v>
      </c>
      <c r="W21" s="34">
        <f>V21/($C$9*$C$18)</f>
        <v>1.0000794603607031</v>
      </c>
      <c r="X21" s="19">
        <v>1</v>
      </c>
    </row>
    <row r="22" spans="2:24" x14ac:dyDescent="0.3">
      <c r="F22">
        <f t="shared" si="3"/>
        <v>8.7703167344327024E-2</v>
      </c>
      <c r="G22" s="18">
        <f t="shared" si="15"/>
        <v>5</v>
      </c>
      <c r="H22" s="6">
        <f t="shared" si="16"/>
        <v>400</v>
      </c>
      <c r="I22" s="34">
        <v>11.402096757508767</v>
      </c>
      <c r="J22" s="1">
        <f t="shared" si="4"/>
        <v>155.48174289163094</v>
      </c>
      <c r="K22" s="1">
        <f t="shared" si="5"/>
        <v>99.290780141843967</v>
      </c>
      <c r="L22" s="1">
        <f t="shared" si="6"/>
        <v>233.90434730732017</v>
      </c>
      <c r="M22" s="1">
        <f t="shared" si="7"/>
        <v>488.67687034079506</v>
      </c>
      <c r="N22" s="1">
        <f t="shared" si="0"/>
        <v>379.96348578326189</v>
      </c>
      <c r="O22" s="1">
        <f t="shared" si="1"/>
        <v>-69</v>
      </c>
      <c r="P22" s="1">
        <f t="shared" si="8"/>
        <v>512.04995032795148</v>
      </c>
      <c r="Q22" s="1">
        <f t="shared" si="9"/>
        <v>281.05357007163036</v>
      </c>
      <c r="R22" s="1">
        <f t="shared" si="10"/>
        <v>535.8260931051052</v>
      </c>
      <c r="S22" s="1">
        <f t="shared" si="2"/>
        <v>310.96348578326189</v>
      </c>
      <c r="T22" s="1">
        <f t="shared" si="11"/>
        <v>0</v>
      </c>
      <c r="U22" s="1">
        <f t="shared" si="12"/>
        <v>466.03169619368981</v>
      </c>
      <c r="V22" s="11">
        <f t="shared" si="13"/>
        <v>512.04995032795148</v>
      </c>
      <c r="W22" s="34">
        <f t="shared" si="14"/>
        <v>1.0000975592342802</v>
      </c>
      <c r="X22" s="19">
        <v>1</v>
      </c>
    </row>
    <row r="23" spans="2:24" x14ac:dyDescent="0.3">
      <c r="F23">
        <f t="shared" si="3"/>
        <v>7.840288333060591E-2</v>
      </c>
      <c r="G23" s="18">
        <f t="shared" si="15"/>
        <v>6</v>
      </c>
      <c r="H23" s="6">
        <f t="shared" si="16"/>
        <v>500</v>
      </c>
      <c r="I23" s="34">
        <v>12.754632961433867</v>
      </c>
      <c r="J23" s="1">
        <f t="shared" si="4"/>
        <v>155.48174289163094</v>
      </c>
      <c r="K23" s="1">
        <f t="shared" si="5"/>
        <v>124.11347517730496</v>
      </c>
      <c r="L23" s="1">
        <f t="shared" si="6"/>
        <v>209.10048984272595</v>
      </c>
      <c r="M23" s="1">
        <f t="shared" si="7"/>
        <v>488.69570791166183</v>
      </c>
      <c r="N23" s="1">
        <f t="shared" si="0"/>
        <v>379.96348578326189</v>
      </c>
      <c r="O23" s="1">
        <f t="shared" si="1"/>
        <v>-69</v>
      </c>
      <c r="P23" s="1">
        <f t="shared" si="8"/>
        <v>512.06220829051938</v>
      </c>
      <c r="Q23" s="1">
        <f t="shared" si="9"/>
        <v>251.24987992125966</v>
      </c>
      <c r="R23" s="1">
        <f t="shared" si="10"/>
        <v>530.84509799019554</v>
      </c>
      <c r="S23" s="1">
        <f t="shared" si="2"/>
        <v>310.96348578326189</v>
      </c>
      <c r="T23" s="1">
        <f t="shared" si="11"/>
        <v>0</v>
      </c>
      <c r="U23" s="1">
        <f t="shared" si="12"/>
        <v>461.97550310455722</v>
      </c>
      <c r="V23" s="11">
        <f t="shared" si="13"/>
        <v>512.06220829051938</v>
      </c>
      <c r="W23" s="34">
        <f t="shared" si="14"/>
        <v>1.0001215005674207</v>
      </c>
      <c r="X23" s="19">
        <v>1</v>
      </c>
    </row>
    <row r="24" spans="2:24" x14ac:dyDescent="0.3">
      <c r="F24">
        <f t="shared" si="3"/>
        <v>6.9105801765116867E-2</v>
      </c>
      <c r="G24" s="18">
        <f t="shared" si="15"/>
        <v>7</v>
      </c>
      <c r="H24" s="6">
        <f t="shared" si="16"/>
        <v>600</v>
      </c>
      <c r="I24" s="34">
        <v>14.470565053262701</v>
      </c>
      <c r="J24" s="1">
        <f t="shared" si="4"/>
        <v>155.48174289163094</v>
      </c>
      <c r="K24" s="1">
        <f t="shared" si="5"/>
        <v>148.93617021276594</v>
      </c>
      <c r="L24" s="1">
        <f t="shared" si="6"/>
        <v>184.30517330756666</v>
      </c>
      <c r="M24" s="1">
        <f t="shared" si="7"/>
        <v>488.72308641196355</v>
      </c>
      <c r="N24" s="1">
        <f t="shared" si="0"/>
        <v>379.96348578326189</v>
      </c>
      <c r="O24" s="1">
        <f t="shared" si="1"/>
        <v>-69</v>
      </c>
      <c r="P24" s="1">
        <f t="shared" si="8"/>
        <v>512.08002470925294</v>
      </c>
      <c r="Q24" s="1">
        <f t="shared" si="9"/>
        <v>221.4564523364935</v>
      </c>
      <c r="R24" s="1">
        <f t="shared" si="10"/>
        <v>525.87436544089041</v>
      </c>
      <c r="S24" s="1">
        <f t="shared" si="2"/>
        <v>310.96348578326189</v>
      </c>
      <c r="T24" s="1">
        <f t="shared" si="11"/>
        <v>0</v>
      </c>
      <c r="U24" s="1">
        <f t="shared" si="12"/>
        <v>457.9458613818623</v>
      </c>
      <c r="V24" s="11">
        <f t="shared" si="13"/>
        <v>512.08002470925294</v>
      </c>
      <c r="W24" s="34">
        <f t="shared" si="14"/>
        <v>1.0001562982602596</v>
      </c>
      <c r="X24" s="19">
        <v>1</v>
      </c>
    </row>
    <row r="25" spans="2:24" x14ac:dyDescent="0.3">
      <c r="F25">
        <f t="shared" si="3"/>
        <v>5.9805668315287545E-2</v>
      </c>
      <c r="G25" s="18">
        <f t="shared" si="15"/>
        <v>8</v>
      </c>
      <c r="H25" s="6">
        <f t="shared" si="16"/>
        <v>700</v>
      </c>
      <c r="I25" s="34">
        <v>16.72082309536502</v>
      </c>
      <c r="J25" s="1">
        <f t="shared" si="4"/>
        <v>155.48174289163094</v>
      </c>
      <c r="K25" s="1">
        <f t="shared" si="5"/>
        <v>173.75886524822695</v>
      </c>
      <c r="L25" s="1">
        <f t="shared" si="6"/>
        <v>159.50171739687187</v>
      </c>
      <c r="M25" s="1">
        <f t="shared" si="7"/>
        <v>488.74232553672977</v>
      </c>
      <c r="N25" s="1">
        <f t="shared" si="0"/>
        <v>379.96348578326189</v>
      </c>
      <c r="O25" s="1">
        <f t="shared" si="1"/>
        <v>-69</v>
      </c>
      <c r="P25" s="1">
        <f t="shared" si="8"/>
        <v>512.09254497594827</v>
      </c>
      <c r="Q25" s="1">
        <f t="shared" si="9"/>
        <v>191.65324468317047</v>
      </c>
      <c r="R25" s="1">
        <f t="shared" si="10"/>
        <v>520.8938528230284</v>
      </c>
      <c r="S25" s="1">
        <f t="shared" si="2"/>
        <v>310.96348578326189</v>
      </c>
      <c r="T25" s="1">
        <f t="shared" si="11"/>
        <v>0</v>
      </c>
      <c r="U25" s="1">
        <f t="shared" si="12"/>
        <v>453.92700646951306</v>
      </c>
      <c r="V25" s="11">
        <f t="shared" si="13"/>
        <v>512.09254497594827</v>
      </c>
      <c r="W25" s="34">
        <f t="shared" si="14"/>
        <v>1.000180751906149</v>
      </c>
      <c r="X25" s="19">
        <v>1</v>
      </c>
    </row>
    <row r="26" spans="2:24" x14ac:dyDescent="0.3">
      <c r="F26">
        <f t="shared" si="3"/>
        <v>5.0517404535176925E-2</v>
      </c>
      <c r="G26" s="18">
        <f t="shared" si="15"/>
        <v>9</v>
      </c>
      <c r="H26" s="6">
        <f t="shared" si="16"/>
        <v>800</v>
      </c>
      <c r="I26" s="34">
        <v>19.795157910451778</v>
      </c>
      <c r="J26" s="1">
        <f t="shared" si="4"/>
        <v>155.48174289163094</v>
      </c>
      <c r="K26" s="1">
        <f t="shared" si="5"/>
        <v>198.58156028368793</v>
      </c>
      <c r="L26" s="1">
        <f t="shared" si="6"/>
        <v>134.72991789531687</v>
      </c>
      <c r="M26" s="1">
        <f t="shared" si="7"/>
        <v>488.79322107063575</v>
      </c>
      <c r="N26" s="1">
        <f t="shared" si="0"/>
        <v>379.96348578326189</v>
      </c>
      <c r="O26" s="1">
        <f t="shared" si="1"/>
        <v>-69</v>
      </c>
      <c r="P26" s="1">
        <f t="shared" si="8"/>
        <v>512.12566832845437</v>
      </c>
      <c r="Q26" s="1">
        <f t="shared" si="9"/>
        <v>161.88807457342796</v>
      </c>
      <c r="R26" s="1">
        <f t="shared" si="10"/>
        <v>515.95137774874684</v>
      </c>
      <c r="S26" s="1">
        <f t="shared" si="2"/>
        <v>310.96348578326189</v>
      </c>
      <c r="T26" s="1">
        <f t="shared" si="11"/>
        <v>0</v>
      </c>
      <c r="U26" s="1">
        <f t="shared" si="12"/>
        <v>449.9578588844517</v>
      </c>
      <c r="V26" s="11">
        <f t="shared" si="13"/>
        <v>512.12566832845437</v>
      </c>
      <c r="W26" s="34">
        <f t="shared" si="14"/>
        <v>1.0002454459540124</v>
      </c>
      <c r="X26" s="19">
        <v>1</v>
      </c>
    </row>
    <row r="27" spans="2:24" x14ac:dyDescent="0.3">
      <c r="F27">
        <f t="shared" si="3"/>
        <v>4.1345673305491736E-2</v>
      </c>
      <c r="G27" s="18">
        <f t="shared" si="15"/>
        <v>10</v>
      </c>
      <c r="H27" s="6">
        <f t="shared" si="16"/>
        <v>900</v>
      </c>
      <c r="I27" s="34">
        <v>24.186327614289333</v>
      </c>
      <c r="J27" s="1">
        <f t="shared" si="4"/>
        <v>155.48174289163094</v>
      </c>
      <c r="K27" s="1">
        <f t="shared" si="5"/>
        <v>223.40425531914894</v>
      </c>
      <c r="L27" s="1">
        <f t="shared" si="6"/>
        <v>110.26891070574645</v>
      </c>
      <c r="M27" s="1">
        <f t="shared" si="7"/>
        <v>489.15490891652638</v>
      </c>
      <c r="N27" s="1">
        <f t="shared" si="0"/>
        <v>379.96348578326189</v>
      </c>
      <c r="O27" s="1">
        <f t="shared" si="1"/>
        <v>-69</v>
      </c>
      <c r="P27" s="1">
        <f t="shared" si="8"/>
        <v>512.36114255481004</v>
      </c>
      <c r="Q27" s="1">
        <f t="shared" si="9"/>
        <v>132.49634467477878</v>
      </c>
      <c r="R27" s="1">
        <f t="shared" si="10"/>
        <v>511.38234288555873</v>
      </c>
      <c r="S27" s="1">
        <f t="shared" si="2"/>
        <v>310.96348578326189</v>
      </c>
      <c r="T27" s="1">
        <f t="shared" si="11"/>
        <v>0</v>
      </c>
      <c r="U27" s="1">
        <f t="shared" si="12"/>
        <v>446.30589755670439</v>
      </c>
      <c r="V27" s="11">
        <f t="shared" si="13"/>
        <v>512.36114255481004</v>
      </c>
      <c r="W27" s="34">
        <f t="shared" si="14"/>
        <v>1.0007053565523634</v>
      </c>
      <c r="X27" s="19">
        <v>1</v>
      </c>
    </row>
    <row r="28" spans="2:24" x14ac:dyDescent="0.3">
      <c r="F28">
        <f t="shared" si="3"/>
        <v>3.1864197822061596E-2</v>
      </c>
      <c r="G28" s="18">
        <f t="shared" si="15"/>
        <v>11</v>
      </c>
      <c r="H28" s="6">
        <f t="shared" si="16"/>
        <v>1000</v>
      </c>
      <c r="I28" s="34">
        <v>31.383184525286772</v>
      </c>
      <c r="J28" s="1">
        <f t="shared" si="4"/>
        <v>155.48174289163094</v>
      </c>
      <c r="K28" s="1">
        <f t="shared" si="5"/>
        <v>248.22695035460993</v>
      </c>
      <c r="L28" s="1">
        <f t="shared" si="6"/>
        <v>84.981815591438277</v>
      </c>
      <c r="M28" s="1">
        <f t="shared" si="7"/>
        <v>488.69050883767909</v>
      </c>
      <c r="N28" s="1">
        <f t="shared" si="0"/>
        <v>379.96348578326189</v>
      </c>
      <c r="O28" s="1">
        <f t="shared" si="1"/>
        <v>-69</v>
      </c>
      <c r="P28" s="1">
        <f t="shared" si="8"/>
        <v>512.05882511512402</v>
      </c>
      <c r="Q28" s="1">
        <f t="shared" si="9"/>
        <v>102.11200834057858</v>
      </c>
      <c r="R28" s="1">
        <f t="shared" si="10"/>
        <v>505.82070158681944</v>
      </c>
      <c r="S28" s="1">
        <f t="shared" si="2"/>
        <v>310.96348578326189</v>
      </c>
      <c r="T28" s="1">
        <f t="shared" si="11"/>
        <v>0</v>
      </c>
      <c r="U28" s="1">
        <f t="shared" si="12"/>
        <v>441.88358545830442</v>
      </c>
      <c r="V28" s="11">
        <f t="shared" si="13"/>
        <v>512.05882511512402</v>
      </c>
      <c r="W28" s="34">
        <f t="shared" si="14"/>
        <v>1.0001148928029766</v>
      </c>
      <c r="X28" s="19">
        <v>1</v>
      </c>
    </row>
    <row r="29" spans="2:24" x14ac:dyDescent="0.3">
      <c r="F29">
        <f t="shared" si="3"/>
        <v>2.2614359069154093E-2</v>
      </c>
      <c r="G29" s="18">
        <f t="shared" si="15"/>
        <v>12</v>
      </c>
      <c r="H29" s="6">
        <f t="shared" si="16"/>
        <v>1100</v>
      </c>
      <c r="I29" s="34">
        <v>44.219692317700769</v>
      </c>
      <c r="J29" s="1">
        <f t="shared" si="4"/>
        <v>155.48174289163094</v>
      </c>
      <c r="K29" s="1">
        <f t="shared" si="5"/>
        <v>273.04964539007091</v>
      </c>
      <c r="L29" s="1">
        <f t="shared" si="6"/>
        <v>60.312495637433962</v>
      </c>
      <c r="M29" s="1">
        <f t="shared" si="7"/>
        <v>488.84388391913586</v>
      </c>
      <c r="N29" s="1">
        <f t="shared" si="0"/>
        <v>379.96348578326189</v>
      </c>
      <c r="O29" s="1">
        <f t="shared" si="1"/>
        <v>-69</v>
      </c>
      <c r="P29" s="1">
        <f t="shared" si="8"/>
        <v>512.15864314237137</v>
      </c>
      <c r="Q29" s="1">
        <f t="shared" si="9"/>
        <v>72.469975073011213</v>
      </c>
      <c r="R29" s="1">
        <f t="shared" si="10"/>
        <v>501.00136335471308</v>
      </c>
      <c r="S29" s="1">
        <f t="shared" si="2"/>
        <v>310.96348578326189</v>
      </c>
      <c r="T29" s="1">
        <f t="shared" si="11"/>
        <v>0</v>
      </c>
      <c r="U29" s="1">
        <f t="shared" si="12"/>
        <v>438.07251139829583</v>
      </c>
      <c r="V29" s="11">
        <f t="shared" si="13"/>
        <v>512.15864314237137</v>
      </c>
      <c r="W29" s="34">
        <f t="shared" si="14"/>
        <v>1.0003098498874441</v>
      </c>
      <c r="X29" s="19">
        <v>1</v>
      </c>
    </row>
    <row r="30" spans="2:24" x14ac:dyDescent="0.3">
      <c r="F30">
        <f t="shared" si="3"/>
        <v>1.326458453701536E-2</v>
      </c>
      <c r="G30" s="18">
        <f t="shared" si="15"/>
        <v>13</v>
      </c>
      <c r="H30" s="6">
        <f t="shared" si="16"/>
        <v>1200</v>
      </c>
      <c r="I30" s="34">
        <v>75.388716262424921</v>
      </c>
      <c r="J30" s="1">
        <f t="shared" si="4"/>
        <v>155.48174289163094</v>
      </c>
      <c r="K30" s="1">
        <f t="shared" si="5"/>
        <v>297.87234042553189</v>
      </c>
      <c r="L30" s="1">
        <f t="shared" si="6"/>
        <v>35.376646960219965</v>
      </c>
      <c r="M30" s="1">
        <f t="shared" si="7"/>
        <v>488.73073027738275</v>
      </c>
      <c r="N30" s="1">
        <f t="shared" si="0"/>
        <v>379.96348578326189</v>
      </c>
      <c r="O30" s="1">
        <f t="shared" si="1"/>
        <v>-69</v>
      </c>
      <c r="P30" s="1">
        <f t="shared" si="8"/>
        <v>512.08499906619193</v>
      </c>
      <c r="Q30" s="1">
        <f t="shared" si="9"/>
        <v>42.507687607319419</v>
      </c>
      <c r="R30" s="1">
        <f t="shared" si="10"/>
        <v>495.86177092448224</v>
      </c>
      <c r="S30" s="1">
        <f t="shared" si="2"/>
        <v>310.96348578326189</v>
      </c>
      <c r="T30" s="1">
        <f t="shared" si="11"/>
        <v>0</v>
      </c>
      <c r="U30" s="1">
        <f t="shared" si="12"/>
        <v>434.03027613462899</v>
      </c>
      <c r="V30" s="11">
        <f t="shared" si="13"/>
        <v>512.08499906619193</v>
      </c>
      <c r="W30" s="34">
        <f t="shared" si="14"/>
        <v>1.0001660138011561</v>
      </c>
      <c r="X30" s="19">
        <v>1</v>
      </c>
    </row>
    <row r="31" spans="2:24" x14ac:dyDescent="0.3">
      <c r="F31">
        <f t="shared" si="3"/>
        <v>4.1793300665021269E-3</v>
      </c>
      <c r="G31" s="18">
        <f t="shared" si="15"/>
        <v>14</v>
      </c>
      <c r="H31" s="6">
        <f t="shared" si="16"/>
        <v>1300</v>
      </c>
      <c r="I31" s="34">
        <v>239.27279829251339</v>
      </c>
      <c r="J31" s="1">
        <f t="shared" si="4"/>
        <v>155.48174289163094</v>
      </c>
      <c r="K31" s="1">
        <f t="shared" si="5"/>
        <v>322.69503546099293</v>
      </c>
      <c r="L31" s="1">
        <f t="shared" si="6"/>
        <v>11.146273287361172</v>
      </c>
      <c r="M31" s="1">
        <f t="shared" si="7"/>
        <v>489.32305163998501</v>
      </c>
      <c r="N31" s="1">
        <f t="shared" si="0"/>
        <v>379.96348578326189</v>
      </c>
      <c r="O31" s="1">
        <f t="shared" si="1"/>
        <v>-69</v>
      </c>
      <c r="P31" s="1">
        <f t="shared" si="8"/>
        <v>512.47066072294012</v>
      </c>
      <c r="Q31" s="1">
        <f t="shared" si="9"/>
        <v>13.393081131112718</v>
      </c>
      <c r="R31" s="1">
        <f t="shared" si="10"/>
        <v>491.56985948373654</v>
      </c>
      <c r="S31" s="1">
        <f t="shared" si="2"/>
        <v>310.96348578326189</v>
      </c>
      <c r="T31" s="1">
        <f t="shared" si="11"/>
        <v>0</v>
      </c>
      <c r="U31" s="1">
        <f t="shared" si="12"/>
        <v>430.67265902572274</v>
      </c>
      <c r="V31" s="11">
        <f t="shared" si="13"/>
        <v>512.47066072294012</v>
      </c>
      <c r="W31" s="34">
        <f t="shared" si="14"/>
        <v>1.0009192592244924</v>
      </c>
      <c r="X31" s="19">
        <v>1</v>
      </c>
    </row>
    <row r="32" spans="2:24" x14ac:dyDescent="0.3">
      <c r="F32">
        <f t="shared" si="3"/>
        <v>6.9021271299512476E-17</v>
      </c>
      <c r="G32" s="18">
        <f t="shared" si="15"/>
        <v>15</v>
      </c>
      <c r="H32" s="6">
        <f t="shared" si="16"/>
        <v>1400</v>
      </c>
      <c r="I32" s="34">
        <v>1.4488287178318946E+16</v>
      </c>
      <c r="J32" s="1">
        <f t="shared" si="4"/>
        <v>155.48174289163094</v>
      </c>
      <c r="K32" s="1">
        <f t="shared" si="5"/>
        <v>347.51773049645391</v>
      </c>
      <c r="L32" s="1">
        <f t="shared" si="6"/>
        <v>1.8407973055579976E-13</v>
      </c>
      <c r="M32" s="1">
        <f t="shared" si="7"/>
        <v>502.99947338808505</v>
      </c>
      <c r="N32" s="1">
        <f t="shared" si="0"/>
        <v>379.96348578326189</v>
      </c>
      <c r="O32" s="1">
        <f t="shared" si="1"/>
        <v>-69</v>
      </c>
      <c r="P32" s="1">
        <f t="shared" si="8"/>
        <v>521.48320364552387</v>
      </c>
      <c r="Q32" s="1">
        <f t="shared" si="9"/>
        <v>2.2118556600641766E-13</v>
      </c>
      <c r="R32" s="1">
        <f t="shared" si="10"/>
        <v>502.99947338808511</v>
      </c>
      <c r="S32" s="1">
        <f t="shared" si="2"/>
        <v>310.96348578326189</v>
      </c>
      <c r="T32" s="1">
        <f t="shared" si="11"/>
        <v>0</v>
      </c>
      <c r="U32" s="1">
        <f t="shared" si="12"/>
        <v>439.65019063712896</v>
      </c>
      <c r="V32" s="11">
        <f t="shared" si="13"/>
        <v>521.48320364552387</v>
      </c>
      <c r="W32" s="34">
        <f t="shared" si="14"/>
        <v>1.0185218821201638</v>
      </c>
      <c r="X32" s="19">
        <v>1</v>
      </c>
    </row>
    <row r="33" spans="6:24" x14ac:dyDescent="0.3">
      <c r="F33">
        <f t="shared" si="3"/>
        <v>2.4474936579386776E-35</v>
      </c>
      <c r="G33" s="18">
        <f t="shared" si="15"/>
        <v>16</v>
      </c>
      <c r="H33" s="6">
        <f t="shared" si="16"/>
        <v>1500</v>
      </c>
      <c r="I33" s="34">
        <v>4.0858124259337925E+34</v>
      </c>
      <c r="J33" s="1">
        <f t="shared" si="4"/>
        <v>155.48174289163094</v>
      </c>
      <c r="K33" s="1">
        <f t="shared" si="5"/>
        <v>372.34042553191489</v>
      </c>
      <c r="L33" s="1">
        <f t="shared" si="6"/>
        <v>6.5274655857224531E-32</v>
      </c>
      <c r="M33" s="1">
        <f t="shared" si="7"/>
        <v>527.8221684235458</v>
      </c>
      <c r="N33" s="1">
        <f t="shared" si="0"/>
        <v>379.96348578326189</v>
      </c>
      <c r="O33" s="1">
        <f t="shared" si="1"/>
        <v>-69</v>
      </c>
      <c r="P33" s="1">
        <f t="shared" si="8"/>
        <v>538.34333947795835</v>
      </c>
      <c r="Q33" s="1">
        <f t="shared" si="9"/>
        <v>7.8432381762302861E-32</v>
      </c>
      <c r="R33" s="1">
        <f t="shared" si="10"/>
        <v>527.8221684235458</v>
      </c>
      <c r="S33" s="1">
        <f t="shared" si="2"/>
        <v>310.96348578326189</v>
      </c>
      <c r="T33" s="1">
        <f t="shared" si="11"/>
        <v>0</v>
      </c>
      <c r="U33" s="1">
        <f t="shared" si="12"/>
        <v>459.52269759299713</v>
      </c>
      <c r="V33" s="11">
        <f t="shared" si="13"/>
        <v>538.34333947795835</v>
      </c>
      <c r="W33" s="34">
        <f t="shared" si="14"/>
        <v>1.0514518349178874</v>
      </c>
      <c r="X33" s="19">
        <v>1</v>
      </c>
    </row>
    <row r="34" spans="6:24" x14ac:dyDescent="0.3">
      <c r="F34">
        <f t="shared" si="3"/>
        <v>1.8843879637075685E-35</v>
      </c>
      <c r="G34" s="18">
        <f t="shared" si="15"/>
        <v>17</v>
      </c>
      <c r="H34" s="6">
        <f t="shared" si="16"/>
        <v>1600</v>
      </c>
      <c r="I34" s="34">
        <v>5.3067628283534633E+34</v>
      </c>
      <c r="J34" s="1">
        <f t="shared" si="4"/>
        <v>155.48174289163094</v>
      </c>
      <c r="K34" s="1">
        <f t="shared" si="5"/>
        <v>397.16312056737587</v>
      </c>
      <c r="L34" s="1">
        <f t="shared" si="6"/>
        <v>5.0256626992080847E-32</v>
      </c>
      <c r="M34" s="1">
        <f t="shared" si="7"/>
        <v>552.64486345900684</v>
      </c>
      <c r="N34" s="1">
        <f t="shared" si="0"/>
        <v>379.96348578326189</v>
      </c>
      <c r="O34" s="1">
        <f t="shared" si="1"/>
        <v>-69</v>
      </c>
      <c r="P34" s="1">
        <f t="shared" si="8"/>
        <v>555.80095629083701</v>
      </c>
      <c r="Q34" s="1">
        <f t="shared" si="9"/>
        <v>6.038709668497274E-32</v>
      </c>
      <c r="R34" s="1">
        <f t="shared" si="10"/>
        <v>552.64486345900684</v>
      </c>
      <c r="S34" s="1">
        <f t="shared" si="2"/>
        <v>310.96348578326189</v>
      </c>
      <c r="T34" s="1">
        <f t="shared" si="11"/>
        <v>0</v>
      </c>
      <c r="U34" s="1">
        <f t="shared" si="12"/>
        <v>479.85650090071056</v>
      </c>
      <c r="V34" s="11">
        <f t="shared" si="13"/>
        <v>555.80095629083701</v>
      </c>
      <c r="W34" s="34">
        <f t="shared" si="14"/>
        <v>1.085548742755541</v>
      </c>
      <c r="X34" s="19">
        <v>1</v>
      </c>
    </row>
    <row r="35" spans="6:24" x14ac:dyDescent="0.3">
      <c r="F35">
        <f t="shared" si="3"/>
        <v>1.9504040077626769E-45</v>
      </c>
      <c r="G35" s="18">
        <f t="shared" si="15"/>
        <v>18</v>
      </c>
      <c r="H35" s="6">
        <f t="shared" si="16"/>
        <v>1700</v>
      </c>
      <c r="I35" s="34">
        <v>5.1271428689644029E+44</v>
      </c>
      <c r="J35" s="1">
        <f t="shared" si="4"/>
        <v>155.48174289163094</v>
      </c>
      <c r="K35" s="1">
        <f t="shared" si="5"/>
        <v>421.98581560283685</v>
      </c>
      <c r="L35" s="1">
        <f t="shared" si="6"/>
        <v>5.2017274887030583E-42</v>
      </c>
      <c r="M35" s="1">
        <f t="shared" si="7"/>
        <v>577.46755849446777</v>
      </c>
      <c r="N35" s="1">
        <f t="shared" si="0"/>
        <v>379.96348578326189</v>
      </c>
      <c r="O35" s="1">
        <f t="shared" si="1"/>
        <v>-69</v>
      </c>
      <c r="P35" s="1">
        <f t="shared" si="8"/>
        <v>573.80152251887955</v>
      </c>
      <c r="Q35" s="1">
        <f t="shared" si="9"/>
        <v>6.2502646832762743E-42</v>
      </c>
      <c r="R35" s="1">
        <f t="shared" si="10"/>
        <v>577.46755849446777</v>
      </c>
      <c r="S35" s="1">
        <f t="shared" si="2"/>
        <v>310.96348578326189</v>
      </c>
      <c r="T35" s="1">
        <f t="shared" si="11"/>
        <v>0</v>
      </c>
      <c r="U35" s="1">
        <f t="shared" si="12"/>
        <v>500.59539119717135</v>
      </c>
      <c r="V35" s="11">
        <f t="shared" si="13"/>
        <v>573.80152251887955</v>
      </c>
      <c r="W35" s="34">
        <f t="shared" si="14"/>
        <v>1.1207060986696866</v>
      </c>
      <c r="X35" s="19">
        <v>1</v>
      </c>
    </row>
  </sheetData>
  <mergeCells count="22">
    <mergeCell ref="V15:V16"/>
    <mergeCell ref="W15:W16"/>
    <mergeCell ref="X15:X16"/>
    <mergeCell ref="C17:D17"/>
    <mergeCell ref="C18:D18"/>
    <mergeCell ref="O9:R9"/>
    <mergeCell ref="O10:R10"/>
    <mergeCell ref="O11:R11"/>
    <mergeCell ref="G15:G17"/>
    <mergeCell ref="H15:H16"/>
    <mergeCell ref="I15:I16"/>
    <mergeCell ref="J15:J16"/>
    <mergeCell ref="K15:K16"/>
    <mergeCell ref="L15:P15"/>
    <mergeCell ref="Q15:U15"/>
    <mergeCell ref="C8:D8"/>
    <mergeCell ref="O8:R8"/>
    <mergeCell ref="I2:R2"/>
    <mergeCell ref="B3:D3"/>
    <mergeCell ref="O5:R5"/>
    <mergeCell ref="O6:R6"/>
    <mergeCell ref="O7:R7"/>
  </mergeCells>
  <dataValidations count="1">
    <dataValidation type="list" allowBlank="1" showInputMessage="1" showErrorMessage="1" prompt="Select applicable condition" sqref="C17:D17" xr:uid="{BCE5D78A-23FC-4F26-9C35-377A011D394F}">
      <formula1>Condition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Goalseek">
                <anchor moveWithCells="1" sizeWithCells="1">
                  <from>
                    <xdr:col>23</xdr:col>
                    <xdr:colOff>76200</xdr:colOff>
                    <xdr:row>12</xdr:row>
                    <xdr:rowOff>7620</xdr:rowOff>
                  </from>
                  <to>
                    <xdr:col>23</xdr:col>
                    <xdr:colOff>838200</xdr:colOff>
                    <xdr:row>13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55A86-5E8E-4484-A3CC-054C44D80D42}">
  <sheetPr codeName="Sheet13"/>
  <dimension ref="B2:X42"/>
  <sheetViews>
    <sheetView workbookViewId="0">
      <selection activeCell="Z21" sqref="Z21"/>
    </sheetView>
  </sheetViews>
  <sheetFormatPr defaultRowHeight="14.4" x14ac:dyDescent="0.3"/>
  <cols>
    <col min="2" max="2" width="13.33203125" customWidth="1"/>
    <col min="9" max="9" width="12.33203125" customWidth="1"/>
    <col min="23" max="23" width="12.88671875" customWidth="1"/>
    <col min="24" max="24" width="13.33203125" customWidth="1"/>
  </cols>
  <sheetData>
    <row r="2" spans="2:24" ht="21" x14ac:dyDescent="0.4">
      <c r="I2" s="72" t="s">
        <v>48</v>
      </c>
      <c r="J2" s="72"/>
      <c r="K2" s="72"/>
      <c r="L2" s="72"/>
      <c r="M2" s="72"/>
      <c r="N2" s="72"/>
      <c r="O2" s="72"/>
      <c r="P2" s="72"/>
      <c r="Q2" s="72"/>
      <c r="R2" s="72"/>
    </row>
    <row r="3" spans="2:24" x14ac:dyDescent="0.3">
      <c r="B3" s="70" t="s">
        <v>4</v>
      </c>
      <c r="C3" s="73"/>
      <c r="D3" s="71"/>
      <c r="L3" s="2"/>
    </row>
    <row r="4" spans="2:24" x14ac:dyDescent="0.3">
      <c r="B4" s="5" t="s">
        <v>0</v>
      </c>
      <c r="C4" s="8">
        <f>F5/1000</f>
        <v>0</v>
      </c>
      <c r="D4" s="6" t="s">
        <v>1</v>
      </c>
    </row>
    <row r="5" spans="2:24" ht="16.2" x14ac:dyDescent="0.35">
      <c r="B5" s="5" t="s">
        <v>2</v>
      </c>
      <c r="C5" s="6">
        <v>846</v>
      </c>
      <c r="D5" s="6" t="s">
        <v>3</v>
      </c>
      <c r="I5" s="39" t="s">
        <v>45</v>
      </c>
      <c r="J5" s="14" t="s">
        <v>46</v>
      </c>
      <c r="N5" s="3" t="s">
        <v>30</v>
      </c>
      <c r="O5" s="68" t="s">
        <v>38</v>
      </c>
      <c r="P5" s="68"/>
      <c r="Q5" s="68"/>
      <c r="R5" s="68"/>
    </row>
    <row r="6" spans="2:24" ht="15.6" x14ac:dyDescent="0.35">
      <c r="B6" s="5" t="s">
        <v>116</v>
      </c>
      <c r="C6" s="6">
        <v>210000</v>
      </c>
      <c r="D6" s="6" t="s">
        <v>40</v>
      </c>
      <c r="I6" s="5" t="s">
        <v>41</v>
      </c>
      <c r="J6" s="40">
        <v>0.8</v>
      </c>
      <c r="N6" s="3" t="s">
        <v>16</v>
      </c>
      <c r="O6" s="68" t="s">
        <v>28</v>
      </c>
      <c r="P6" s="68"/>
      <c r="Q6" s="68"/>
      <c r="R6" s="68"/>
    </row>
    <row r="7" spans="2:24" ht="15.6" x14ac:dyDescent="0.35">
      <c r="I7" s="5" t="s">
        <v>42</v>
      </c>
      <c r="J7" s="40">
        <v>0.96</v>
      </c>
      <c r="N7" s="3" t="s">
        <v>15</v>
      </c>
      <c r="O7" s="68" t="s">
        <v>14</v>
      </c>
      <c r="P7" s="68"/>
      <c r="Q7" s="68"/>
      <c r="R7" s="68"/>
    </row>
    <row r="8" spans="2:24" ht="15.6" x14ac:dyDescent="0.3">
      <c r="B8" s="39" t="s">
        <v>5</v>
      </c>
      <c r="C8" s="70" t="s">
        <v>89</v>
      </c>
      <c r="D8" s="71"/>
      <c r="I8" s="5" t="s">
        <v>43</v>
      </c>
      <c r="J8" s="40">
        <v>1</v>
      </c>
      <c r="N8" s="4" t="s">
        <v>29</v>
      </c>
      <c r="O8" s="68" t="s">
        <v>37</v>
      </c>
      <c r="P8" s="68"/>
      <c r="Q8" s="68"/>
      <c r="R8" s="68"/>
    </row>
    <row r="9" spans="2:24" ht="15.6" x14ac:dyDescent="0.35">
      <c r="B9" s="5" t="s">
        <v>39</v>
      </c>
      <c r="C9" s="6">
        <v>640</v>
      </c>
      <c r="D9" s="6" t="s">
        <v>40</v>
      </c>
      <c r="E9" s="12"/>
      <c r="I9" s="5" t="s">
        <v>44</v>
      </c>
      <c r="J9" s="40">
        <v>1</v>
      </c>
      <c r="N9" s="4" t="s">
        <v>31</v>
      </c>
      <c r="O9" s="68" t="s">
        <v>36</v>
      </c>
      <c r="P9" s="68"/>
      <c r="Q9" s="68"/>
      <c r="R9" s="68"/>
    </row>
    <row r="10" spans="2:24" ht="14.4" customHeight="1" x14ac:dyDescent="0.3">
      <c r="B10" s="5" t="s">
        <v>0</v>
      </c>
      <c r="C10" s="7">
        <f>0.001*2*E10</f>
        <v>3.0519999999999999E-2</v>
      </c>
      <c r="D10" s="6" t="s">
        <v>1</v>
      </c>
      <c r="E10">
        <v>15.26</v>
      </c>
      <c r="N10" s="4" t="s">
        <v>32</v>
      </c>
      <c r="O10" s="68" t="s">
        <v>35</v>
      </c>
      <c r="P10" s="68"/>
      <c r="Q10" s="68"/>
      <c r="R10" s="68"/>
    </row>
    <row r="11" spans="2:24" ht="15.6" x14ac:dyDescent="0.3">
      <c r="B11" s="5" t="s">
        <v>6</v>
      </c>
      <c r="C11" s="7">
        <f>C10-2*C12</f>
        <v>2.5399999999999999E-2</v>
      </c>
      <c r="D11" s="6" t="s">
        <v>1</v>
      </c>
      <c r="E11" s="31"/>
      <c r="F11" s="31"/>
      <c r="N11" s="4" t="s">
        <v>33</v>
      </c>
      <c r="O11" s="68" t="s">
        <v>34</v>
      </c>
      <c r="P11" s="68"/>
      <c r="Q11" s="68"/>
      <c r="R11" s="68"/>
    </row>
    <row r="12" spans="2:24" x14ac:dyDescent="0.3">
      <c r="B12" s="5" t="s">
        <v>7</v>
      </c>
      <c r="C12" s="7">
        <f>2.56*0.001</f>
        <v>2.5600000000000002E-3</v>
      </c>
      <c r="D12" s="6" t="s">
        <v>1</v>
      </c>
      <c r="E12" s="31"/>
      <c r="F12" s="31"/>
      <c r="N12" s="2"/>
    </row>
    <row r="13" spans="2:24" ht="15.6" x14ac:dyDescent="0.35">
      <c r="B13" s="5" t="s">
        <v>49</v>
      </c>
      <c r="C13" s="6">
        <v>69</v>
      </c>
      <c r="D13" s="6" t="s">
        <v>40</v>
      </c>
    </row>
    <row r="14" spans="2:24" ht="15.6" x14ac:dyDescent="0.35">
      <c r="B14" s="5" t="s">
        <v>50</v>
      </c>
      <c r="C14" s="11">
        <v>0</v>
      </c>
      <c r="D14" s="6" t="s">
        <v>40</v>
      </c>
    </row>
    <row r="15" spans="2:24" ht="15.6" customHeight="1" x14ac:dyDescent="0.3">
      <c r="G15" s="69" t="s">
        <v>8</v>
      </c>
      <c r="H15" s="69" t="s">
        <v>9</v>
      </c>
      <c r="I15" s="69" t="s">
        <v>10</v>
      </c>
      <c r="J15" s="69" t="s">
        <v>15</v>
      </c>
      <c r="K15" s="69" t="s">
        <v>16</v>
      </c>
      <c r="L15" s="69" t="s">
        <v>51</v>
      </c>
      <c r="M15" s="69"/>
      <c r="N15" s="69"/>
      <c r="O15" s="69"/>
      <c r="P15" s="69"/>
      <c r="Q15" s="69" t="s">
        <v>52</v>
      </c>
      <c r="R15" s="69"/>
      <c r="S15" s="69"/>
      <c r="T15" s="69"/>
      <c r="U15" s="69"/>
      <c r="V15" s="63" t="s">
        <v>27</v>
      </c>
      <c r="W15" s="64" t="s">
        <v>74</v>
      </c>
      <c r="X15" s="67" t="s">
        <v>69</v>
      </c>
    </row>
    <row r="16" spans="2:24" ht="15.6" x14ac:dyDescent="0.3">
      <c r="B16" s="10" t="s">
        <v>53</v>
      </c>
      <c r="C16" s="6">
        <v>1790</v>
      </c>
      <c r="D16" s="15" t="s">
        <v>1</v>
      </c>
      <c r="G16" s="69"/>
      <c r="H16" s="69"/>
      <c r="I16" s="69"/>
      <c r="J16" s="69"/>
      <c r="K16" s="69"/>
      <c r="L16" s="41" t="s">
        <v>17</v>
      </c>
      <c r="M16" s="41" t="s">
        <v>18</v>
      </c>
      <c r="N16" s="41" t="s">
        <v>19</v>
      </c>
      <c r="O16" s="41" t="s">
        <v>20</v>
      </c>
      <c r="P16" s="41" t="s">
        <v>21</v>
      </c>
      <c r="Q16" s="41" t="s">
        <v>22</v>
      </c>
      <c r="R16" s="41" t="s">
        <v>23</v>
      </c>
      <c r="S16" s="41" t="s">
        <v>24</v>
      </c>
      <c r="T16" s="41" t="s">
        <v>25</v>
      </c>
      <c r="U16" s="41" t="s">
        <v>26</v>
      </c>
      <c r="V16" s="63"/>
      <c r="W16" s="64"/>
      <c r="X16" s="67"/>
    </row>
    <row r="17" spans="2:24" x14ac:dyDescent="0.3">
      <c r="B17" s="10" t="s">
        <v>45</v>
      </c>
      <c r="C17" s="65" t="s">
        <v>44</v>
      </c>
      <c r="D17" s="65"/>
      <c r="G17" s="69"/>
      <c r="H17" s="41" t="s">
        <v>13</v>
      </c>
      <c r="I17" s="41" t="s">
        <v>12</v>
      </c>
      <c r="J17" s="41" t="s">
        <v>11</v>
      </c>
      <c r="K17" s="41" t="s">
        <v>11</v>
      </c>
      <c r="L17" s="41" t="s">
        <v>11</v>
      </c>
      <c r="M17" s="41" t="s">
        <v>11</v>
      </c>
      <c r="N17" s="41" t="s">
        <v>11</v>
      </c>
      <c r="O17" s="41" t="s">
        <v>11</v>
      </c>
      <c r="P17" s="41" t="s">
        <v>11</v>
      </c>
      <c r="Q17" s="41" t="s">
        <v>11</v>
      </c>
      <c r="R17" s="41" t="s">
        <v>11</v>
      </c>
      <c r="S17" s="41" t="s">
        <v>11</v>
      </c>
      <c r="T17" s="41" t="s">
        <v>11</v>
      </c>
      <c r="U17" s="41" t="s">
        <v>11</v>
      </c>
      <c r="V17" s="41" t="s">
        <v>11</v>
      </c>
      <c r="W17" s="41" t="s">
        <v>47</v>
      </c>
      <c r="X17" s="41" t="s">
        <v>47</v>
      </c>
    </row>
    <row r="18" spans="2:24" ht="13.2" customHeight="1" x14ac:dyDescent="0.35">
      <c r="B18" s="9" t="s">
        <v>46</v>
      </c>
      <c r="C18" s="66">
        <v>1</v>
      </c>
      <c r="D18" s="66"/>
      <c r="F18">
        <f>1/I18</f>
        <v>0.18118666619605722</v>
      </c>
      <c r="G18" s="18">
        <v>1</v>
      </c>
      <c r="H18" s="6">
        <v>0</v>
      </c>
      <c r="I18" s="19">
        <v>5.5191699311798521</v>
      </c>
      <c r="J18" s="1">
        <f>($C$13-$C$14)*($C$10-2*$C$12)^2/($C$10^2-($C$10-2*$C$12)^2)</f>
        <v>155.48174289163094</v>
      </c>
      <c r="K18" s="1">
        <f>$C$6*0.001*H18/$C$5</f>
        <v>0</v>
      </c>
      <c r="L18" s="1">
        <f>$C$6*((0.5*$C$11)/I18)</f>
        <v>483.22483874488455</v>
      </c>
      <c r="M18" s="1">
        <f>J18+K18+L18</f>
        <v>638.70658163651547</v>
      </c>
      <c r="N18" s="1">
        <f t="shared" ref="N18:N42" si="0">($C$13-$C$14)*($C$10^2+($C$10-2*$C$12)^2)/($C$10^2-($C$10-2*$C$12)^2)-$C$14</f>
        <v>379.96348578326189</v>
      </c>
      <c r="O18" s="1">
        <f t="shared" ref="O18:O42" si="1">-$C$13</f>
        <v>-69</v>
      </c>
      <c r="P18" s="1">
        <f>SQRT((N18-M18)^2+(M18-O18)^2+(O18-N18)^2)/SQRT(2)</f>
        <v>620.22770290838548</v>
      </c>
      <c r="Q18" s="1">
        <f>$C$6*((0.5*$C$10)/I18)</f>
        <v>580.63079049188491</v>
      </c>
      <c r="R18" s="1">
        <f>J18+K18+Q18</f>
        <v>736.11253338351582</v>
      </c>
      <c r="S18" s="1">
        <f t="shared" ref="S18:S42" si="2">($C$13-$C$14)*(2*($C$10-2*$C$12)^2/($C$10^2-($C$10-2*$C$12)^2))-$C$14</f>
        <v>310.96348578326189</v>
      </c>
      <c r="T18" s="1">
        <f>-$C$14</f>
        <v>0</v>
      </c>
      <c r="U18" s="1">
        <f>SQRT((S18-R18)^2+(R18-T18)^2+(T18-S18)^2)/SQRT(2)</f>
        <v>640.04361725205001</v>
      </c>
      <c r="V18" s="11">
        <f>MAX(P18,U18)</f>
        <v>640.04361725205001</v>
      </c>
      <c r="W18" s="8">
        <f>V18/($C$9*$C$18)</f>
        <v>1.0000681519563281</v>
      </c>
      <c r="X18" s="19">
        <v>1</v>
      </c>
    </row>
    <row r="19" spans="2:24" x14ac:dyDescent="0.3">
      <c r="F19">
        <f t="shared" ref="F19:F35" si="3">1/I19</f>
        <v>0.17344226713150626</v>
      </c>
      <c r="G19" s="18">
        <f>G18+1</f>
        <v>2</v>
      </c>
      <c r="H19" s="6">
        <f>H18+100</f>
        <v>100</v>
      </c>
      <c r="I19" s="40">
        <v>5.7656072913402738</v>
      </c>
      <c r="J19" s="1">
        <f t="shared" ref="J19:J42" si="4">($C$13-$C$14)*($C$10-2*$C$12)^2/($C$10^2-($C$10-2*$C$12)^2)</f>
        <v>155.48174289163094</v>
      </c>
      <c r="K19" s="1">
        <f t="shared" ref="K19:K42" si="5">$C$6*0.001*H19/$C$5</f>
        <v>24.822695035460992</v>
      </c>
      <c r="L19" s="1">
        <f t="shared" ref="L19:L42" si="6">$C$6*((0.5*$C$11)/I19)</f>
        <v>462.57052643972713</v>
      </c>
      <c r="M19" s="1">
        <f t="shared" ref="M19:M42" si="7">J19+K19+L19</f>
        <v>642.87496436681909</v>
      </c>
      <c r="N19" s="1">
        <f t="shared" si="0"/>
        <v>379.96348578326189</v>
      </c>
      <c r="O19" s="1">
        <f t="shared" si="1"/>
        <v>-69</v>
      </c>
      <c r="P19" s="1">
        <f t="shared" ref="P19:P42" si="8">SQRT((N19-M19)^2+(M19-O19)^2+(O19-N19)^2)/SQRT(2)</f>
        <v>623.48080244299001</v>
      </c>
      <c r="Q19" s="1">
        <f t="shared" ref="Q19:Q42" si="9">$C$6*((0.5*$C$10)/I19)</f>
        <v>555.81308924962491</v>
      </c>
      <c r="R19" s="1">
        <f t="shared" ref="R19:R42" si="10">J19+K19+Q19</f>
        <v>736.11752717671686</v>
      </c>
      <c r="S19" s="1">
        <f t="shared" si="2"/>
        <v>310.96348578326189</v>
      </c>
      <c r="T19" s="1">
        <f t="shared" ref="T19:T42" si="11">-$C$14</f>
        <v>0</v>
      </c>
      <c r="U19" s="1">
        <f t="shared" ref="U19:U42" si="12">SQRT((S19-R19)^2+(R19-T19)^2+(T19-S19)^2)/SQRT(2)</f>
        <v>640.04814749377601</v>
      </c>
      <c r="V19" s="11">
        <f t="shared" ref="V19:V42" si="13">MAX(P19,U19)</f>
        <v>640.04814749377601</v>
      </c>
      <c r="W19" s="8">
        <f t="shared" ref="W19:W35" si="14">V19/($C$9*$C$18)</f>
        <v>1.000075230459025</v>
      </c>
      <c r="X19" s="19">
        <v>1</v>
      </c>
    </row>
    <row r="20" spans="2:24" x14ac:dyDescent="0.3">
      <c r="F20">
        <f t="shared" si="3"/>
        <v>0.16569804597930257</v>
      </c>
      <c r="G20" s="18">
        <f t="shared" ref="G20:G42" si="15">G19+1</f>
        <v>3</v>
      </c>
      <c r="H20" s="6">
        <f t="shared" ref="H20:H42" si="16">H19+100</f>
        <v>200</v>
      </c>
      <c r="I20" s="40">
        <v>6.0350741862394113</v>
      </c>
      <c r="J20" s="1">
        <f t="shared" si="4"/>
        <v>155.48174289163094</v>
      </c>
      <c r="K20" s="1">
        <f t="shared" si="5"/>
        <v>49.645390070921984</v>
      </c>
      <c r="L20" s="1">
        <f t="shared" si="6"/>
        <v>441.9166886267999</v>
      </c>
      <c r="M20" s="1">
        <f t="shared" si="7"/>
        <v>647.04382158935277</v>
      </c>
      <c r="N20" s="1">
        <f t="shared" si="0"/>
        <v>379.96348578326189</v>
      </c>
      <c r="O20" s="1">
        <f t="shared" si="1"/>
        <v>-69</v>
      </c>
      <c r="P20" s="1">
        <f t="shared" si="8"/>
        <v>626.74511237712738</v>
      </c>
      <c r="Q20" s="1">
        <f t="shared" si="9"/>
        <v>530.99595814527299</v>
      </c>
      <c r="R20" s="1">
        <f t="shared" si="10"/>
        <v>736.12309110782599</v>
      </c>
      <c r="S20" s="1">
        <f t="shared" si="2"/>
        <v>310.96348578326189</v>
      </c>
      <c r="T20" s="1">
        <f t="shared" si="11"/>
        <v>0</v>
      </c>
      <c r="U20" s="1">
        <f t="shared" si="12"/>
        <v>640.05319495818333</v>
      </c>
      <c r="V20" s="11">
        <f t="shared" si="13"/>
        <v>640.05319495818333</v>
      </c>
      <c r="W20" s="8">
        <f t="shared" si="14"/>
        <v>1.0000831171221614</v>
      </c>
      <c r="X20" s="19">
        <v>1</v>
      </c>
    </row>
    <row r="21" spans="2:24" x14ac:dyDescent="0.3">
      <c r="F21">
        <f t="shared" si="3"/>
        <v>0.15795409857801199</v>
      </c>
      <c r="G21" s="18">
        <f t="shared" si="15"/>
        <v>4</v>
      </c>
      <c r="H21" s="6">
        <f t="shared" si="16"/>
        <v>300</v>
      </c>
      <c r="I21" s="40">
        <v>6.3309531629919045</v>
      </c>
      <c r="J21" s="1">
        <f t="shared" si="4"/>
        <v>155.48174289163094</v>
      </c>
      <c r="K21" s="1">
        <f t="shared" si="5"/>
        <v>74.468085106382972</v>
      </c>
      <c r="L21" s="1">
        <f t="shared" si="6"/>
        <v>421.26358090755798</v>
      </c>
      <c r="M21" s="1">
        <f t="shared" si="7"/>
        <v>651.2134089055719</v>
      </c>
      <c r="N21" s="1">
        <f t="shared" si="0"/>
        <v>379.96348578326189</v>
      </c>
      <c r="O21" s="1">
        <f t="shared" si="1"/>
        <v>-69</v>
      </c>
      <c r="P21" s="1">
        <f t="shared" si="8"/>
        <v>630.02066899741499</v>
      </c>
      <c r="Q21" s="1">
        <f t="shared" si="9"/>
        <v>506.17970430309714</v>
      </c>
      <c r="R21" s="1">
        <f t="shared" si="10"/>
        <v>736.12953230111111</v>
      </c>
      <c r="S21" s="1">
        <f t="shared" si="2"/>
        <v>310.96348578326189</v>
      </c>
      <c r="T21" s="1">
        <f t="shared" si="11"/>
        <v>0</v>
      </c>
      <c r="U21" s="1">
        <f t="shared" si="12"/>
        <v>640.05903826441954</v>
      </c>
      <c r="V21" s="11">
        <f t="shared" si="13"/>
        <v>640.05903826441954</v>
      </c>
      <c r="W21" s="40">
        <f>V21/($C$9*$C$18)</f>
        <v>1.0000922472881555</v>
      </c>
      <c r="X21" s="19">
        <v>1</v>
      </c>
    </row>
    <row r="22" spans="2:24" x14ac:dyDescent="0.3">
      <c r="F22">
        <f t="shared" si="3"/>
        <v>0.15021046387038445</v>
      </c>
      <c r="G22" s="18">
        <f t="shared" si="15"/>
        <v>5</v>
      </c>
      <c r="H22" s="6">
        <f t="shared" si="16"/>
        <v>400</v>
      </c>
      <c r="I22" s="40">
        <v>6.657325822939292</v>
      </c>
      <c r="J22" s="1">
        <f t="shared" si="4"/>
        <v>155.48174289163094</v>
      </c>
      <c r="K22" s="1">
        <f t="shared" si="5"/>
        <v>99.290780141843967</v>
      </c>
      <c r="L22" s="1">
        <f t="shared" si="6"/>
        <v>400.6113071423153</v>
      </c>
      <c r="M22" s="1">
        <f t="shared" si="7"/>
        <v>655.38383017579019</v>
      </c>
      <c r="N22" s="1">
        <f t="shared" si="0"/>
        <v>379.96348578326189</v>
      </c>
      <c r="O22" s="1">
        <f t="shared" si="1"/>
        <v>-69</v>
      </c>
      <c r="P22" s="1">
        <f t="shared" si="8"/>
        <v>633.30739419815086</v>
      </c>
      <c r="Q22" s="1">
        <f t="shared" si="9"/>
        <v>481.36445251903405</v>
      </c>
      <c r="R22" s="1">
        <f t="shared" si="10"/>
        <v>736.13697555250894</v>
      </c>
      <c r="S22" s="1">
        <f t="shared" si="2"/>
        <v>310.96348578326189</v>
      </c>
      <c r="T22" s="1">
        <f t="shared" si="11"/>
        <v>0</v>
      </c>
      <c r="U22" s="1">
        <f t="shared" si="12"/>
        <v>640.06579062961646</v>
      </c>
      <c r="V22" s="11">
        <f t="shared" si="13"/>
        <v>640.06579062961646</v>
      </c>
      <c r="W22" s="40">
        <f t="shared" si="14"/>
        <v>1.0001027978587758</v>
      </c>
      <c r="X22" s="19">
        <v>1</v>
      </c>
    </row>
    <row r="23" spans="2:24" x14ac:dyDescent="0.3">
      <c r="F23">
        <f t="shared" si="3"/>
        <v>0.14246720867214346</v>
      </c>
      <c r="G23" s="18">
        <f t="shared" si="15"/>
        <v>6</v>
      </c>
      <c r="H23" s="6">
        <f t="shared" si="16"/>
        <v>500</v>
      </c>
      <c r="I23" s="40">
        <v>7.0191590705007583</v>
      </c>
      <c r="J23" s="1">
        <f t="shared" si="4"/>
        <v>155.48174289163094</v>
      </c>
      <c r="K23" s="1">
        <f t="shared" si="5"/>
        <v>124.11347517730496</v>
      </c>
      <c r="L23" s="1">
        <f t="shared" si="6"/>
        <v>379.96004552860654</v>
      </c>
      <c r="M23" s="1">
        <f t="shared" si="7"/>
        <v>659.55526359754242</v>
      </c>
      <c r="N23" s="1">
        <f t="shared" si="0"/>
        <v>379.96348578326189</v>
      </c>
      <c r="O23" s="1">
        <f t="shared" si="1"/>
        <v>-69</v>
      </c>
      <c r="P23" s="1">
        <f t="shared" si="8"/>
        <v>636.60527248197195</v>
      </c>
      <c r="Q23" s="1">
        <f t="shared" si="9"/>
        <v>456.55041691075087</v>
      </c>
      <c r="R23" s="1">
        <f t="shared" si="10"/>
        <v>736.14563497968675</v>
      </c>
      <c r="S23" s="1">
        <f t="shared" si="2"/>
        <v>310.96348578326189</v>
      </c>
      <c r="T23" s="1">
        <f t="shared" si="11"/>
        <v>0</v>
      </c>
      <c r="U23" s="1">
        <f t="shared" si="12"/>
        <v>640.07364630385064</v>
      </c>
      <c r="V23" s="11">
        <f t="shared" si="13"/>
        <v>640.07364630385064</v>
      </c>
      <c r="W23" s="40">
        <f t="shared" si="14"/>
        <v>1.0001150723497667</v>
      </c>
      <c r="X23" s="19">
        <v>1</v>
      </c>
    </row>
    <row r="24" spans="2:24" x14ac:dyDescent="0.3">
      <c r="F24">
        <f t="shared" si="3"/>
        <v>0.13472440526147023</v>
      </c>
      <c r="G24" s="18">
        <f t="shared" si="15"/>
        <v>7</v>
      </c>
      <c r="H24" s="6">
        <f t="shared" si="16"/>
        <v>600</v>
      </c>
      <c r="I24" s="40">
        <v>7.4225601371868857</v>
      </c>
      <c r="J24" s="1">
        <f t="shared" si="4"/>
        <v>155.48174289163094</v>
      </c>
      <c r="K24" s="1">
        <f t="shared" si="5"/>
        <v>148.93617021276594</v>
      </c>
      <c r="L24" s="1">
        <f t="shared" si="6"/>
        <v>359.30998883234105</v>
      </c>
      <c r="M24" s="1">
        <f t="shared" si="7"/>
        <v>663.72790193673791</v>
      </c>
      <c r="N24" s="1">
        <f t="shared" si="0"/>
        <v>379.96348578326189</v>
      </c>
      <c r="O24" s="1">
        <f t="shared" si="1"/>
        <v>-69</v>
      </c>
      <c r="P24" s="1">
        <f t="shared" si="8"/>
        <v>639.91430430886373</v>
      </c>
      <c r="Q24" s="1">
        <f t="shared" si="9"/>
        <v>431.73782910090745</v>
      </c>
      <c r="R24" s="1">
        <f t="shared" si="10"/>
        <v>736.15574220530436</v>
      </c>
      <c r="S24" s="1">
        <f t="shared" si="2"/>
        <v>310.96348578326189</v>
      </c>
      <c r="T24" s="1">
        <f t="shared" si="11"/>
        <v>0</v>
      </c>
      <c r="U24" s="1">
        <f t="shared" si="12"/>
        <v>640.08281542062491</v>
      </c>
      <c r="V24" s="11">
        <f t="shared" si="13"/>
        <v>640.08281542062491</v>
      </c>
      <c r="W24" s="40">
        <f t="shared" si="14"/>
        <v>1.0001293990947264</v>
      </c>
      <c r="X24" s="19">
        <v>1</v>
      </c>
    </row>
    <row r="25" spans="2:24" x14ac:dyDescent="0.3">
      <c r="F25">
        <f t="shared" si="3"/>
        <v>0.12546349221175654</v>
      </c>
      <c r="G25" s="18">
        <f t="shared" si="15"/>
        <v>8</v>
      </c>
      <c r="H25" s="6">
        <f t="shared" si="16"/>
        <v>700</v>
      </c>
      <c r="I25" s="40">
        <v>7.9704460825321668</v>
      </c>
      <c r="J25" s="1">
        <f t="shared" si="4"/>
        <v>155.48174289163094</v>
      </c>
      <c r="K25" s="1">
        <f t="shared" si="5"/>
        <v>173.75886524822695</v>
      </c>
      <c r="L25" s="1">
        <f t="shared" si="6"/>
        <v>334.61113372875468</v>
      </c>
      <c r="M25" s="1">
        <f t="shared" si="7"/>
        <v>663.85174186861263</v>
      </c>
      <c r="N25" s="1">
        <f t="shared" si="0"/>
        <v>379.96348578326189</v>
      </c>
      <c r="O25" s="1">
        <f t="shared" si="1"/>
        <v>-69</v>
      </c>
      <c r="P25" s="1">
        <f t="shared" si="8"/>
        <v>640.01266747998761</v>
      </c>
      <c r="Q25" s="1">
        <f t="shared" si="9"/>
        <v>402.06030714179502</v>
      </c>
      <c r="R25" s="1">
        <f t="shared" si="10"/>
        <v>731.30091528165292</v>
      </c>
      <c r="S25" s="1">
        <f t="shared" si="2"/>
        <v>310.96348578326189</v>
      </c>
      <c r="T25" s="1">
        <f t="shared" si="11"/>
        <v>0</v>
      </c>
      <c r="U25" s="1">
        <f t="shared" si="12"/>
        <v>635.68186729667502</v>
      </c>
      <c r="V25" s="11">
        <f t="shared" si="13"/>
        <v>640.01266747998761</v>
      </c>
      <c r="W25" s="40">
        <f t="shared" si="14"/>
        <v>1.0000197929374806</v>
      </c>
      <c r="X25" s="19">
        <v>1</v>
      </c>
    </row>
    <row r="26" spans="2:24" x14ac:dyDescent="0.3">
      <c r="F26">
        <f t="shared" si="3"/>
        <v>0.11619846564920955</v>
      </c>
      <c r="G26" s="18">
        <f t="shared" si="15"/>
        <v>9</v>
      </c>
      <c r="H26" s="6">
        <f t="shared" si="16"/>
        <v>800</v>
      </c>
      <c r="I26" s="40">
        <v>8.6059656159220772</v>
      </c>
      <c r="J26" s="1">
        <f t="shared" si="4"/>
        <v>155.48174289163094</v>
      </c>
      <c r="K26" s="1">
        <f t="shared" si="5"/>
        <v>198.58156028368793</v>
      </c>
      <c r="L26" s="1">
        <f t="shared" si="6"/>
        <v>309.90130788644188</v>
      </c>
      <c r="M26" s="1">
        <f t="shared" si="7"/>
        <v>663.96461106176071</v>
      </c>
      <c r="N26" s="1">
        <f t="shared" si="0"/>
        <v>379.96348578326189</v>
      </c>
      <c r="O26" s="1">
        <f t="shared" si="1"/>
        <v>-69</v>
      </c>
      <c r="P26" s="1">
        <f t="shared" si="8"/>
        <v>640.10232455250025</v>
      </c>
      <c r="Q26" s="1">
        <f t="shared" si="9"/>
        <v>372.36960301945692</v>
      </c>
      <c r="R26" s="1">
        <f t="shared" si="10"/>
        <v>726.4329061947758</v>
      </c>
      <c r="S26" s="1">
        <f t="shared" si="2"/>
        <v>310.96348578326189</v>
      </c>
      <c r="T26" s="1">
        <f t="shared" si="11"/>
        <v>0</v>
      </c>
      <c r="U26" s="1">
        <f t="shared" si="12"/>
        <v>631.27565135610291</v>
      </c>
      <c r="V26" s="11">
        <f t="shared" si="13"/>
        <v>640.10232455250025</v>
      </c>
      <c r="W26" s="40">
        <f t="shared" si="14"/>
        <v>1.0001598821132816</v>
      </c>
      <c r="X26" s="19">
        <v>1</v>
      </c>
    </row>
    <row r="27" spans="2:24" x14ac:dyDescent="0.3">
      <c r="F27">
        <f t="shared" si="3"/>
        <v>0.1068994182122074</v>
      </c>
      <c r="G27" s="18">
        <f t="shared" si="15"/>
        <v>10</v>
      </c>
      <c r="H27" s="6">
        <f t="shared" si="16"/>
        <v>900</v>
      </c>
      <c r="I27" s="40">
        <v>9.354587861412746</v>
      </c>
      <c r="J27" s="1">
        <f t="shared" si="4"/>
        <v>155.48174289163094</v>
      </c>
      <c r="K27" s="1">
        <f t="shared" si="5"/>
        <v>223.40425531914894</v>
      </c>
      <c r="L27" s="1">
        <f t="shared" si="6"/>
        <v>285.10074837195714</v>
      </c>
      <c r="M27" s="1">
        <f t="shared" si="7"/>
        <v>663.98674658273706</v>
      </c>
      <c r="N27" s="1">
        <f t="shared" si="0"/>
        <v>379.96348578326189</v>
      </c>
      <c r="O27" s="1">
        <f t="shared" si="1"/>
        <v>-69</v>
      </c>
      <c r="P27" s="1">
        <f t="shared" si="8"/>
        <v>640.11990865296855</v>
      </c>
      <c r="Q27" s="1">
        <f t="shared" si="9"/>
        <v>342.56987560283983</v>
      </c>
      <c r="R27" s="1">
        <f t="shared" si="10"/>
        <v>721.45587381361975</v>
      </c>
      <c r="S27" s="1">
        <f t="shared" si="2"/>
        <v>310.96348578326189</v>
      </c>
      <c r="T27" s="1">
        <f t="shared" si="11"/>
        <v>0</v>
      </c>
      <c r="U27" s="1">
        <f t="shared" si="12"/>
        <v>626.77781868119587</v>
      </c>
      <c r="V27" s="11">
        <f t="shared" si="13"/>
        <v>640.11990865296855</v>
      </c>
      <c r="W27" s="40">
        <f t="shared" si="14"/>
        <v>1.0001873572702633</v>
      </c>
      <c r="X27" s="19">
        <v>1</v>
      </c>
    </row>
    <row r="28" spans="2:24" x14ac:dyDescent="0.3">
      <c r="F28">
        <f t="shared" si="3"/>
        <v>9.760283613506214E-2</v>
      </c>
      <c r="G28" s="18">
        <f t="shared" si="15"/>
        <v>11</v>
      </c>
      <c r="H28" s="6">
        <f t="shared" si="16"/>
        <v>1000</v>
      </c>
      <c r="I28" s="40">
        <v>10.245603914790005</v>
      </c>
      <c r="J28" s="1">
        <f t="shared" si="4"/>
        <v>155.48174289163094</v>
      </c>
      <c r="K28" s="1">
        <f t="shared" si="5"/>
        <v>248.22695035460993</v>
      </c>
      <c r="L28" s="1">
        <f t="shared" si="6"/>
        <v>260.30676397221072</v>
      </c>
      <c r="M28" s="1">
        <f t="shared" si="7"/>
        <v>664.0154572184515</v>
      </c>
      <c r="N28" s="1">
        <f t="shared" si="0"/>
        <v>379.96348578326189</v>
      </c>
      <c r="O28" s="1">
        <f t="shared" si="1"/>
        <v>-69</v>
      </c>
      <c r="P28" s="1">
        <f t="shared" si="8"/>
        <v>640.14271633911858</v>
      </c>
      <c r="Q28" s="1">
        <f t="shared" si="9"/>
        <v>312.77804867842013</v>
      </c>
      <c r="R28" s="1">
        <f t="shared" si="10"/>
        <v>716.48674192466092</v>
      </c>
      <c r="S28" s="1">
        <f t="shared" si="2"/>
        <v>310.96348578326189</v>
      </c>
      <c r="T28" s="1">
        <f t="shared" si="11"/>
        <v>0</v>
      </c>
      <c r="U28" s="1">
        <f t="shared" si="12"/>
        <v>622.29440464936499</v>
      </c>
      <c r="V28" s="11">
        <f t="shared" si="13"/>
        <v>640.14271633911858</v>
      </c>
      <c r="W28" s="40">
        <f t="shared" si="14"/>
        <v>1.0002229942798728</v>
      </c>
      <c r="X28" s="19">
        <v>1</v>
      </c>
    </row>
    <row r="29" spans="2:24" x14ac:dyDescent="0.3">
      <c r="F29">
        <f t="shared" si="3"/>
        <v>8.8309282453518323E-2</v>
      </c>
      <c r="G29" s="18">
        <f t="shared" si="15"/>
        <v>12</v>
      </c>
      <c r="H29" s="6">
        <f t="shared" si="16"/>
        <v>1100</v>
      </c>
      <c r="I29" s="40">
        <v>11.323837904881074</v>
      </c>
      <c r="J29" s="1">
        <f t="shared" si="4"/>
        <v>155.48174289163094</v>
      </c>
      <c r="K29" s="1">
        <f t="shared" si="5"/>
        <v>273.04964539007091</v>
      </c>
      <c r="L29" s="1">
        <f t="shared" si="6"/>
        <v>235.52085630353338</v>
      </c>
      <c r="M29" s="1">
        <f t="shared" si="7"/>
        <v>664.05224458523526</v>
      </c>
      <c r="N29" s="1">
        <f t="shared" si="0"/>
        <v>379.96348578326189</v>
      </c>
      <c r="O29" s="1">
        <f t="shared" si="1"/>
        <v>-69</v>
      </c>
      <c r="P29" s="1">
        <f t="shared" si="8"/>
        <v>640.17194086266943</v>
      </c>
      <c r="Q29" s="1">
        <f t="shared" si="9"/>
        <v>282.99592655054482</v>
      </c>
      <c r="R29" s="1">
        <f t="shared" si="10"/>
        <v>711.5273148322467</v>
      </c>
      <c r="S29" s="1">
        <f t="shared" si="2"/>
        <v>310.96348578326189</v>
      </c>
      <c r="T29" s="1">
        <f t="shared" si="11"/>
        <v>0</v>
      </c>
      <c r="U29" s="1">
        <f t="shared" si="12"/>
        <v>617.82715640591925</v>
      </c>
      <c r="V29" s="11">
        <f t="shared" si="13"/>
        <v>640.17194086266943</v>
      </c>
      <c r="W29" s="40">
        <f t="shared" si="14"/>
        <v>1.0002686575979209</v>
      </c>
      <c r="X29" s="19">
        <v>1</v>
      </c>
    </row>
    <row r="30" spans="2:24" x14ac:dyDescent="0.3">
      <c r="F30">
        <f t="shared" si="3"/>
        <v>7.9020608526472233E-2</v>
      </c>
      <c r="G30" s="18">
        <f t="shared" si="15"/>
        <v>13</v>
      </c>
      <c r="H30" s="6">
        <f t="shared" si="16"/>
        <v>1200</v>
      </c>
      <c r="I30" s="40">
        <v>12.65492659000463</v>
      </c>
      <c r="J30" s="1">
        <f t="shared" si="4"/>
        <v>155.48174289163094</v>
      </c>
      <c r="K30" s="1">
        <f t="shared" si="5"/>
        <v>297.87234042553189</v>
      </c>
      <c r="L30" s="1">
        <f t="shared" si="6"/>
        <v>210.74796294010142</v>
      </c>
      <c r="M30" s="1">
        <f t="shared" si="7"/>
        <v>664.10204625726419</v>
      </c>
      <c r="N30" s="1">
        <f t="shared" si="0"/>
        <v>379.96348578326189</v>
      </c>
      <c r="O30" s="1">
        <f t="shared" si="1"/>
        <v>-69</v>
      </c>
      <c r="P30" s="1">
        <f t="shared" si="8"/>
        <v>640.21150541890574</v>
      </c>
      <c r="Q30" s="1">
        <f t="shared" si="9"/>
        <v>253.22944208393292</v>
      </c>
      <c r="R30" s="1">
        <f t="shared" si="10"/>
        <v>706.5835254010957</v>
      </c>
      <c r="S30" s="1">
        <f t="shared" si="2"/>
        <v>310.96348578326189</v>
      </c>
      <c r="T30" s="1">
        <f t="shared" si="11"/>
        <v>0</v>
      </c>
      <c r="U30" s="1">
        <f t="shared" si="12"/>
        <v>613.38152222166514</v>
      </c>
      <c r="V30" s="11">
        <f t="shared" si="13"/>
        <v>640.21150541890574</v>
      </c>
      <c r="W30" s="40">
        <f t="shared" si="14"/>
        <v>1.0003304772170403</v>
      </c>
      <c r="X30" s="19">
        <v>1</v>
      </c>
    </row>
    <row r="31" spans="2:24" x14ac:dyDescent="0.3">
      <c r="F31">
        <f t="shared" si="3"/>
        <v>6.983586670977536E-2</v>
      </c>
      <c r="G31" s="18">
        <f t="shared" si="15"/>
        <v>14</v>
      </c>
      <c r="H31" s="6">
        <f t="shared" si="16"/>
        <v>1300</v>
      </c>
      <c r="I31" s="40">
        <v>14.319289601657134</v>
      </c>
      <c r="J31" s="1">
        <f t="shared" si="4"/>
        <v>155.48174289163094</v>
      </c>
      <c r="K31" s="1">
        <f t="shared" si="5"/>
        <v>322.69503546099293</v>
      </c>
      <c r="L31" s="1">
        <f t="shared" si="6"/>
        <v>186.25225651497087</v>
      </c>
      <c r="M31" s="1">
        <f t="shared" si="7"/>
        <v>664.42903486759474</v>
      </c>
      <c r="N31" s="1">
        <f t="shared" si="0"/>
        <v>379.96348578326189</v>
      </c>
      <c r="O31" s="1">
        <f t="shared" si="1"/>
        <v>-69</v>
      </c>
      <c r="P31" s="1">
        <f t="shared" si="8"/>
        <v>640.47131449008691</v>
      </c>
      <c r="Q31" s="1">
        <f t="shared" si="9"/>
        <v>223.79601845814611</v>
      </c>
      <c r="R31" s="1">
        <f t="shared" si="10"/>
        <v>701.97279681076998</v>
      </c>
      <c r="S31" s="1">
        <f t="shared" si="2"/>
        <v>310.96348578326189</v>
      </c>
      <c r="T31" s="1">
        <f t="shared" si="11"/>
        <v>0</v>
      </c>
      <c r="U31" s="1">
        <f t="shared" si="12"/>
        <v>609.24230740445876</v>
      </c>
      <c r="V31" s="11">
        <f t="shared" si="13"/>
        <v>640.47131449008691</v>
      </c>
      <c r="W31" s="40">
        <f t="shared" si="14"/>
        <v>1.0007364288907608</v>
      </c>
      <c r="X31" s="19">
        <v>1</v>
      </c>
    </row>
    <row r="32" spans="2:24" x14ac:dyDescent="0.3">
      <c r="F32">
        <f t="shared" si="3"/>
        <v>6.0324463855004215E-2</v>
      </c>
      <c r="G32" s="18">
        <f t="shared" si="15"/>
        <v>15</v>
      </c>
      <c r="H32" s="6">
        <f t="shared" si="16"/>
        <v>1400</v>
      </c>
      <c r="I32" s="40">
        <v>16.577022589104121</v>
      </c>
      <c r="J32" s="1">
        <f t="shared" si="4"/>
        <v>155.48174289163094</v>
      </c>
      <c r="K32" s="1">
        <f t="shared" si="5"/>
        <v>347.51773049645391</v>
      </c>
      <c r="L32" s="1">
        <f t="shared" si="6"/>
        <v>160.88534510129625</v>
      </c>
      <c r="M32" s="1">
        <f t="shared" si="7"/>
        <v>663.88481848938113</v>
      </c>
      <c r="N32" s="1">
        <f t="shared" si="0"/>
        <v>379.96348578326189</v>
      </c>
      <c r="O32" s="1">
        <f t="shared" si="1"/>
        <v>-69</v>
      </c>
      <c r="P32" s="1">
        <f t="shared" si="8"/>
        <v>640.03894096550437</v>
      </c>
      <c r="Q32" s="1">
        <f t="shared" si="9"/>
        <v>193.31577686974649</v>
      </c>
      <c r="R32" s="1">
        <f t="shared" si="10"/>
        <v>696.31525025783139</v>
      </c>
      <c r="S32" s="1">
        <f t="shared" si="2"/>
        <v>310.96348578326189</v>
      </c>
      <c r="T32" s="1">
        <f t="shared" si="11"/>
        <v>0</v>
      </c>
      <c r="U32" s="1">
        <f t="shared" si="12"/>
        <v>604.17265728257155</v>
      </c>
      <c r="V32" s="11">
        <f t="shared" si="13"/>
        <v>640.03894096550437</v>
      </c>
      <c r="W32" s="40">
        <f t="shared" si="14"/>
        <v>1.0000608452586006</v>
      </c>
      <c r="X32" s="19">
        <v>1</v>
      </c>
    </row>
    <row r="33" spans="6:24" x14ac:dyDescent="0.3">
      <c r="F33">
        <f t="shared" si="3"/>
        <v>5.1034116393463544E-2</v>
      </c>
      <c r="G33" s="18">
        <f t="shared" si="15"/>
        <v>16</v>
      </c>
      <c r="H33" s="6">
        <f t="shared" si="16"/>
        <v>1500</v>
      </c>
      <c r="I33" s="40">
        <v>19.594735260824073</v>
      </c>
      <c r="J33" s="1">
        <f t="shared" si="4"/>
        <v>155.48174289163094</v>
      </c>
      <c r="K33" s="1">
        <f t="shared" si="5"/>
        <v>372.34042553191489</v>
      </c>
      <c r="L33" s="1">
        <f t="shared" si="6"/>
        <v>136.10798842136728</v>
      </c>
      <c r="M33" s="1">
        <f t="shared" si="7"/>
        <v>663.93015684491309</v>
      </c>
      <c r="N33" s="1">
        <f t="shared" si="0"/>
        <v>379.96348578326189</v>
      </c>
      <c r="O33" s="1">
        <f t="shared" si="1"/>
        <v>-69</v>
      </c>
      <c r="P33" s="1">
        <f t="shared" si="8"/>
        <v>640.07495524086937</v>
      </c>
      <c r="Q33" s="1">
        <f t="shared" si="9"/>
        <v>163.54392939449326</v>
      </c>
      <c r="R33" s="1">
        <f t="shared" si="10"/>
        <v>691.36609781803907</v>
      </c>
      <c r="S33" s="1">
        <f t="shared" si="2"/>
        <v>310.96348578326189</v>
      </c>
      <c r="T33" s="1">
        <f t="shared" si="11"/>
        <v>0</v>
      </c>
      <c r="U33" s="1">
        <f t="shared" si="12"/>
        <v>599.74641222165735</v>
      </c>
      <c r="V33" s="11">
        <f t="shared" si="13"/>
        <v>640.07495524086937</v>
      </c>
      <c r="W33" s="40">
        <f t="shared" si="14"/>
        <v>1.0001171175638583</v>
      </c>
      <c r="X33" s="19">
        <v>1</v>
      </c>
    </row>
    <row r="34" spans="6:24" x14ac:dyDescent="0.3">
      <c r="F34">
        <f t="shared" si="3"/>
        <v>4.1767303792234166E-2</v>
      </c>
      <c r="G34" s="18">
        <f t="shared" si="15"/>
        <v>17</v>
      </c>
      <c r="H34" s="6">
        <f t="shared" si="16"/>
        <v>1600</v>
      </c>
      <c r="I34" s="40">
        <v>23.942172685466254</v>
      </c>
      <c r="J34" s="1">
        <f t="shared" si="4"/>
        <v>155.48174289163094</v>
      </c>
      <c r="K34" s="1">
        <f t="shared" si="5"/>
        <v>397.16312056737587</v>
      </c>
      <c r="L34" s="1">
        <f t="shared" si="6"/>
        <v>111.39339921388851</v>
      </c>
      <c r="M34" s="1">
        <f t="shared" si="7"/>
        <v>664.03826267289537</v>
      </c>
      <c r="N34" s="1">
        <f t="shared" si="0"/>
        <v>379.96348578326189</v>
      </c>
      <c r="O34" s="1">
        <f t="shared" si="1"/>
        <v>-69</v>
      </c>
      <c r="P34" s="1">
        <f t="shared" si="8"/>
        <v>640.16083329662126</v>
      </c>
      <c r="Q34" s="1">
        <f t="shared" si="9"/>
        <v>133.84750173259363</v>
      </c>
      <c r="R34" s="1">
        <f t="shared" si="10"/>
        <v>686.49236519160047</v>
      </c>
      <c r="S34" s="1">
        <f t="shared" si="2"/>
        <v>310.96348578326189</v>
      </c>
      <c r="T34" s="1">
        <f t="shared" si="11"/>
        <v>0</v>
      </c>
      <c r="U34" s="1">
        <f t="shared" si="12"/>
        <v>595.39566517842445</v>
      </c>
      <c r="V34" s="11">
        <f t="shared" si="13"/>
        <v>640.16083329662126</v>
      </c>
      <c r="W34" s="40">
        <f t="shared" si="14"/>
        <v>1.0002513020259707</v>
      </c>
      <c r="X34" s="19">
        <v>1</v>
      </c>
    </row>
    <row r="35" spans="6:24" x14ac:dyDescent="0.3">
      <c r="F35">
        <f t="shared" si="3"/>
        <v>3.2545157292484639E-2</v>
      </c>
      <c r="G35" s="18">
        <f t="shared" si="15"/>
        <v>18</v>
      </c>
      <c r="H35" s="6">
        <f t="shared" si="16"/>
        <v>1700</v>
      </c>
      <c r="I35" s="43">
        <v>30.72653762318491</v>
      </c>
      <c r="J35" s="1">
        <f t="shared" si="4"/>
        <v>155.48174289163094</v>
      </c>
      <c r="K35" s="1">
        <f t="shared" si="5"/>
        <v>421.98581560283685</v>
      </c>
      <c r="L35" s="1">
        <f t="shared" si="6"/>
        <v>86.797934499056524</v>
      </c>
      <c r="M35" s="1">
        <f t="shared" si="7"/>
        <v>664.26549299352428</v>
      </c>
      <c r="N35" s="1">
        <f t="shared" si="0"/>
        <v>379.96348578326189</v>
      </c>
      <c r="O35" s="1">
        <f t="shared" si="1"/>
        <v>-69</v>
      </c>
      <c r="P35" s="1">
        <f t="shared" si="8"/>
        <v>640.34136446331399</v>
      </c>
      <c r="Q35" s="1">
        <f t="shared" si="9"/>
        <v>104.29421105949628</v>
      </c>
      <c r="R35" s="1">
        <f t="shared" si="10"/>
        <v>681.76176955396409</v>
      </c>
      <c r="S35" s="1">
        <f t="shared" si="2"/>
        <v>310.96348578326189</v>
      </c>
      <c r="T35" s="1">
        <f t="shared" si="11"/>
        <v>0</v>
      </c>
      <c r="U35" s="1">
        <f t="shared" si="12"/>
        <v>591.18050000111111</v>
      </c>
      <c r="V35" s="11">
        <f t="shared" si="13"/>
        <v>640.34136446331399</v>
      </c>
      <c r="W35" s="40">
        <f t="shared" si="14"/>
        <v>1.0005333819739282</v>
      </c>
      <c r="X35" s="19">
        <v>1</v>
      </c>
    </row>
    <row r="36" spans="6:24" x14ac:dyDescent="0.3">
      <c r="G36" s="18">
        <f t="shared" si="15"/>
        <v>19</v>
      </c>
      <c r="H36" s="6">
        <f t="shared" si="16"/>
        <v>1800</v>
      </c>
      <c r="I36" s="43">
        <v>43.281290679409906</v>
      </c>
      <c r="J36" s="1">
        <f t="shared" si="4"/>
        <v>155.48174289163094</v>
      </c>
      <c r="K36" s="1">
        <f t="shared" si="5"/>
        <v>446.80851063829789</v>
      </c>
      <c r="L36" s="1">
        <f t="shared" si="6"/>
        <v>61.620158690617899</v>
      </c>
      <c r="M36" s="1">
        <f t="shared" si="7"/>
        <v>663.91041222054673</v>
      </c>
      <c r="N36" s="1">
        <f t="shared" si="0"/>
        <v>379.96348578326189</v>
      </c>
      <c r="O36" s="1">
        <f t="shared" si="1"/>
        <v>-69</v>
      </c>
      <c r="P36" s="1">
        <f t="shared" si="8"/>
        <v>640.05927106055174</v>
      </c>
      <c r="Q36" s="1">
        <f t="shared" si="9"/>
        <v>74.041230048726703</v>
      </c>
      <c r="R36" s="1">
        <f t="shared" si="10"/>
        <v>676.33148357865548</v>
      </c>
      <c r="S36" s="1">
        <f t="shared" si="2"/>
        <v>310.96348578326189</v>
      </c>
      <c r="T36" s="1">
        <f t="shared" si="11"/>
        <v>0</v>
      </c>
      <c r="U36" s="1">
        <f t="shared" si="12"/>
        <v>586.35157498858848</v>
      </c>
      <c r="V36" s="11">
        <f t="shared" si="13"/>
        <v>640.05927106055174</v>
      </c>
      <c r="W36" s="43">
        <f t="shared" ref="W36:W38" si="17">V36/($C$9*$C$18)</f>
        <v>1.000092611032112</v>
      </c>
      <c r="X36" s="19">
        <v>1</v>
      </c>
    </row>
    <row r="37" spans="6:24" x14ac:dyDescent="0.3">
      <c r="G37" s="18">
        <f t="shared" si="15"/>
        <v>20</v>
      </c>
      <c r="H37" s="6">
        <f t="shared" si="16"/>
        <v>1900</v>
      </c>
      <c r="I37" s="43">
        <v>71.268451597902498</v>
      </c>
      <c r="J37" s="1">
        <f t="shared" si="4"/>
        <v>155.48174289163094</v>
      </c>
      <c r="K37" s="1">
        <f t="shared" si="5"/>
        <v>471.63120567375887</v>
      </c>
      <c r="L37" s="1">
        <f t="shared" si="6"/>
        <v>37.421887808749482</v>
      </c>
      <c r="M37" s="1">
        <f t="shared" si="7"/>
        <v>664.53483637413933</v>
      </c>
      <c r="N37" s="1">
        <f t="shared" si="0"/>
        <v>379.96348578326189</v>
      </c>
      <c r="O37" s="1">
        <f t="shared" si="1"/>
        <v>-69</v>
      </c>
      <c r="P37" s="1">
        <f t="shared" si="8"/>
        <v>640.55539234253911</v>
      </c>
      <c r="Q37" s="1">
        <f t="shared" si="9"/>
        <v>44.965197477284811</v>
      </c>
      <c r="R37" s="1">
        <f t="shared" si="10"/>
        <v>672.07814604267469</v>
      </c>
      <c r="S37" s="1">
        <f t="shared" si="2"/>
        <v>310.96348578326189</v>
      </c>
      <c r="T37" s="1">
        <f t="shared" si="11"/>
        <v>0</v>
      </c>
      <c r="U37" s="1">
        <f t="shared" si="12"/>
        <v>582.57665664395915</v>
      </c>
      <c r="V37" s="11">
        <f t="shared" si="13"/>
        <v>640.55539234253911</v>
      </c>
      <c r="W37" s="43">
        <f t="shared" si="17"/>
        <v>1.0008678005352174</v>
      </c>
      <c r="X37" s="19">
        <v>1</v>
      </c>
    </row>
    <row r="38" spans="6:24" x14ac:dyDescent="0.3">
      <c r="G38" s="18">
        <f t="shared" si="15"/>
        <v>21</v>
      </c>
      <c r="H38" s="6">
        <f t="shared" si="16"/>
        <v>2000</v>
      </c>
      <c r="I38" s="43">
        <v>216.65863720786754</v>
      </c>
      <c r="J38" s="1">
        <f t="shared" si="4"/>
        <v>155.48174289163094</v>
      </c>
      <c r="K38" s="1">
        <f t="shared" si="5"/>
        <v>496.45390070921985</v>
      </c>
      <c r="L38" s="1">
        <f t="shared" si="6"/>
        <v>12.309686954419524</v>
      </c>
      <c r="M38" s="1">
        <f t="shared" si="7"/>
        <v>664.24533055527024</v>
      </c>
      <c r="N38" s="1">
        <f t="shared" si="0"/>
        <v>379.96348578326189</v>
      </c>
      <c r="O38" s="1">
        <f t="shared" si="1"/>
        <v>-69</v>
      </c>
      <c r="P38" s="1">
        <f t="shared" si="8"/>
        <v>640.32534449869343</v>
      </c>
      <c r="Q38" s="1">
        <f t="shared" si="9"/>
        <v>14.791009679089919</v>
      </c>
      <c r="R38" s="1">
        <f t="shared" si="10"/>
        <v>666.72665327994071</v>
      </c>
      <c r="S38" s="1">
        <f t="shared" si="2"/>
        <v>310.96348578326189</v>
      </c>
      <c r="T38" s="1">
        <f t="shared" si="11"/>
        <v>0</v>
      </c>
      <c r="U38" s="1">
        <f t="shared" si="12"/>
        <v>577.83654740402892</v>
      </c>
      <c r="V38" s="11">
        <f t="shared" si="13"/>
        <v>640.32534449869343</v>
      </c>
      <c r="W38" s="43">
        <f t="shared" si="17"/>
        <v>1.0005083507792085</v>
      </c>
      <c r="X38" s="19">
        <v>1</v>
      </c>
    </row>
    <row r="39" spans="6:24" x14ac:dyDescent="0.3">
      <c r="G39" s="18">
        <f t="shared" si="15"/>
        <v>22</v>
      </c>
      <c r="H39" s="6">
        <f t="shared" si="16"/>
        <v>2100</v>
      </c>
      <c r="I39" s="43">
        <v>5.9384140012894736E+16</v>
      </c>
      <c r="J39" s="1">
        <f t="shared" si="4"/>
        <v>155.48174289163094</v>
      </c>
      <c r="K39" s="1">
        <f t="shared" si="5"/>
        <v>521.27659574468089</v>
      </c>
      <c r="L39" s="1">
        <f t="shared" si="6"/>
        <v>4.4910981272455657E-14</v>
      </c>
      <c r="M39" s="1">
        <f t="shared" si="7"/>
        <v>676.75833863631181</v>
      </c>
      <c r="N39" s="1">
        <f t="shared" si="0"/>
        <v>379.96348578326189</v>
      </c>
      <c r="O39" s="1">
        <f t="shared" si="1"/>
        <v>-69</v>
      </c>
      <c r="P39" s="1">
        <f t="shared" si="8"/>
        <v>650.31180824751777</v>
      </c>
      <c r="Q39" s="1">
        <f t="shared" si="9"/>
        <v>5.3963903481706554E-14</v>
      </c>
      <c r="R39" s="1">
        <f t="shared" si="10"/>
        <v>676.75833863631181</v>
      </c>
      <c r="S39" s="1">
        <f t="shared" si="2"/>
        <v>310.96348578326189</v>
      </c>
      <c r="T39" s="1">
        <f t="shared" si="11"/>
        <v>0</v>
      </c>
      <c r="U39" s="1">
        <f t="shared" si="12"/>
        <v>586.73077845722491</v>
      </c>
      <c r="V39" s="11">
        <f t="shared" si="13"/>
        <v>650.31180824751777</v>
      </c>
      <c r="W39" s="43">
        <f t="shared" ref="W39" si="18">V39/($C$9*$C$18)</f>
        <v>1.0161122003867464</v>
      </c>
      <c r="X39" s="19">
        <v>1</v>
      </c>
    </row>
    <row r="40" spans="6:24" x14ac:dyDescent="0.3">
      <c r="G40" s="45">
        <f t="shared" si="15"/>
        <v>23</v>
      </c>
      <c r="H40" s="6">
        <f t="shared" si="16"/>
        <v>2200</v>
      </c>
      <c r="I40" s="44">
        <v>-2.6870920562157909E+29</v>
      </c>
      <c r="J40" s="1">
        <f t="shared" si="4"/>
        <v>155.48174289163094</v>
      </c>
      <c r="K40" s="1">
        <f t="shared" si="5"/>
        <v>546.09929078014181</v>
      </c>
      <c r="L40" s="1">
        <f t="shared" si="6"/>
        <v>-9.9252275106492378E-27</v>
      </c>
      <c r="M40" s="1">
        <f t="shared" si="7"/>
        <v>701.58103367177273</v>
      </c>
      <c r="N40" s="1">
        <f t="shared" si="0"/>
        <v>379.96348578326189</v>
      </c>
      <c r="O40" s="1">
        <f t="shared" si="1"/>
        <v>-69</v>
      </c>
      <c r="P40" s="1">
        <f t="shared" si="8"/>
        <v>670.37347356944747</v>
      </c>
      <c r="Q40" s="1">
        <f t="shared" si="9"/>
        <v>-1.1925903292323415E-26</v>
      </c>
      <c r="R40" s="1">
        <f t="shared" si="10"/>
        <v>701.58103367177273</v>
      </c>
      <c r="S40" s="1">
        <f t="shared" si="2"/>
        <v>310.96348578326189</v>
      </c>
      <c r="T40" s="1">
        <f t="shared" si="11"/>
        <v>0</v>
      </c>
      <c r="U40" s="1">
        <f t="shared" si="12"/>
        <v>608.89092004104612</v>
      </c>
      <c r="V40" s="11">
        <f t="shared" si="13"/>
        <v>670.37347356944747</v>
      </c>
      <c r="W40" s="44">
        <f t="shared" ref="W40:W42" si="19">V40/($C$9*$C$18)</f>
        <v>1.0474585524522617</v>
      </c>
      <c r="X40" s="19">
        <v>1</v>
      </c>
    </row>
    <row r="41" spans="6:24" x14ac:dyDescent="0.3">
      <c r="G41" s="45">
        <f t="shared" si="15"/>
        <v>24</v>
      </c>
      <c r="H41" s="6">
        <f t="shared" si="16"/>
        <v>2300</v>
      </c>
      <c r="I41" s="44">
        <v>5.467173898255556E+16</v>
      </c>
      <c r="J41" s="1">
        <f t="shared" si="4"/>
        <v>155.48174289163094</v>
      </c>
      <c r="K41" s="1">
        <f t="shared" si="5"/>
        <v>570.92198581560285</v>
      </c>
      <c r="L41" s="1">
        <f t="shared" si="6"/>
        <v>4.8782059060732927E-14</v>
      </c>
      <c r="M41" s="1">
        <f t="shared" si="7"/>
        <v>726.40372870723377</v>
      </c>
      <c r="N41" s="1">
        <f t="shared" si="0"/>
        <v>379.96348578326189</v>
      </c>
      <c r="O41" s="1">
        <f t="shared" si="1"/>
        <v>-69</v>
      </c>
      <c r="P41" s="1">
        <f t="shared" si="8"/>
        <v>690.74457838091223</v>
      </c>
      <c r="Q41" s="1">
        <f t="shared" si="9"/>
        <v>5.861529301313263E-14</v>
      </c>
      <c r="R41" s="1">
        <f t="shared" si="10"/>
        <v>726.40372870723388</v>
      </c>
      <c r="S41" s="1">
        <f t="shared" si="2"/>
        <v>310.96348578326189</v>
      </c>
      <c r="T41" s="1">
        <f t="shared" si="11"/>
        <v>0</v>
      </c>
      <c r="U41" s="1">
        <f t="shared" si="12"/>
        <v>631.24926218213443</v>
      </c>
      <c r="V41" s="11">
        <f t="shared" si="13"/>
        <v>690.74457838091223</v>
      </c>
      <c r="W41" s="44">
        <f t="shared" si="19"/>
        <v>1.0792884037201753</v>
      </c>
      <c r="X41" s="19">
        <v>1</v>
      </c>
    </row>
    <row r="42" spans="6:24" x14ac:dyDescent="0.3">
      <c r="G42" s="45">
        <f t="shared" si="15"/>
        <v>25</v>
      </c>
      <c r="H42" s="6">
        <f t="shared" si="16"/>
        <v>2400</v>
      </c>
      <c r="I42" s="44">
        <v>5.4928444176637504E+16</v>
      </c>
      <c r="J42" s="1">
        <f t="shared" si="4"/>
        <v>155.48174289163094</v>
      </c>
      <c r="K42" s="1">
        <f t="shared" si="5"/>
        <v>595.74468085106378</v>
      </c>
      <c r="L42" s="1">
        <f t="shared" si="6"/>
        <v>4.8554078674129723E-14</v>
      </c>
      <c r="M42" s="1">
        <f t="shared" si="7"/>
        <v>751.22642374269469</v>
      </c>
      <c r="N42" s="1">
        <f t="shared" si="0"/>
        <v>379.96348578326189</v>
      </c>
      <c r="O42" s="1">
        <f t="shared" si="1"/>
        <v>-69</v>
      </c>
      <c r="P42" s="1">
        <f t="shared" si="8"/>
        <v>711.3985405082924</v>
      </c>
      <c r="Q42" s="1">
        <f t="shared" si="9"/>
        <v>5.8341357524977917E-14</v>
      </c>
      <c r="R42" s="1">
        <f t="shared" si="10"/>
        <v>751.22642374269481</v>
      </c>
      <c r="S42" s="1">
        <f t="shared" si="2"/>
        <v>310.96348578326189</v>
      </c>
      <c r="T42" s="1">
        <f t="shared" si="11"/>
        <v>0</v>
      </c>
      <c r="U42" s="1">
        <f t="shared" si="12"/>
        <v>653.78547083901583</v>
      </c>
      <c r="V42" s="11">
        <f t="shared" si="13"/>
        <v>711.3985405082924</v>
      </c>
      <c r="W42" s="44">
        <f t="shared" si="19"/>
        <v>1.1115602195442069</v>
      </c>
      <c r="X42" s="19">
        <v>1</v>
      </c>
    </row>
  </sheetData>
  <mergeCells count="22">
    <mergeCell ref="C8:D8"/>
    <mergeCell ref="O8:R8"/>
    <mergeCell ref="I2:R2"/>
    <mergeCell ref="B3:D3"/>
    <mergeCell ref="O5:R5"/>
    <mergeCell ref="O6:R6"/>
    <mergeCell ref="O7:R7"/>
    <mergeCell ref="O9:R9"/>
    <mergeCell ref="O10:R10"/>
    <mergeCell ref="O11:R11"/>
    <mergeCell ref="G15:G17"/>
    <mergeCell ref="H15:H16"/>
    <mergeCell ref="I15:I16"/>
    <mergeCell ref="J15:J16"/>
    <mergeCell ref="K15:K16"/>
    <mergeCell ref="L15:P15"/>
    <mergeCell ref="Q15:U15"/>
    <mergeCell ref="V15:V16"/>
    <mergeCell ref="W15:W16"/>
    <mergeCell ref="X15:X16"/>
    <mergeCell ref="C17:D17"/>
    <mergeCell ref="C18:D18"/>
  </mergeCells>
  <dataValidations count="1">
    <dataValidation type="list" allowBlank="1" showInputMessage="1" showErrorMessage="1" prompt="Select applicable condition" sqref="C17:D17" xr:uid="{3A33A484-3DF3-4A1C-A926-1BEFBD862009}">
      <formula1>Condition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Goalseek">
                <anchor moveWithCells="1" sizeWithCells="1">
                  <from>
                    <xdr:col>23</xdr:col>
                    <xdr:colOff>76200</xdr:colOff>
                    <xdr:row>12</xdr:row>
                    <xdr:rowOff>7620</xdr:rowOff>
                  </from>
                  <to>
                    <xdr:col>23</xdr:col>
                    <xdr:colOff>838200</xdr:colOff>
                    <xdr:row>13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F7A90-8C01-4B79-A3FF-C42DA9A4C7AF}">
  <dimension ref="E3:AE62"/>
  <sheetViews>
    <sheetView workbookViewId="0">
      <selection activeCell="L35" sqref="L35"/>
    </sheetView>
  </sheetViews>
  <sheetFormatPr defaultRowHeight="14.4" x14ac:dyDescent="0.3"/>
  <cols>
    <col min="6" max="6" width="18.109375" bestFit="1" customWidth="1"/>
    <col min="7" max="7" width="14.88671875" bestFit="1" customWidth="1"/>
    <col min="8" max="8" width="12.5546875" bestFit="1" customWidth="1"/>
    <col min="9" max="9" width="10.6640625" bestFit="1" customWidth="1"/>
    <col min="10" max="10" width="10.6640625" customWidth="1"/>
    <col min="11" max="11" width="13.6640625" customWidth="1"/>
    <col min="28" max="28" width="11.33203125" bestFit="1" customWidth="1"/>
    <col min="29" max="29" width="20.33203125" bestFit="1" customWidth="1"/>
    <col min="30" max="30" width="11.33203125" bestFit="1" customWidth="1"/>
    <col min="31" max="31" width="20.33203125" bestFit="1" customWidth="1"/>
  </cols>
  <sheetData>
    <row r="3" spans="5:31" x14ac:dyDescent="0.3">
      <c r="M3">
        <f>25.4*5/8</f>
        <v>15.875</v>
      </c>
    </row>
    <row r="4" spans="5:31" x14ac:dyDescent="0.3">
      <c r="E4" t="s">
        <v>115</v>
      </c>
      <c r="M4">
        <f>7/8</f>
        <v>0.875</v>
      </c>
    </row>
    <row r="5" spans="5:31" x14ac:dyDescent="0.3">
      <c r="M5">
        <f>25.4*3/4</f>
        <v>19.049999999999997</v>
      </c>
    </row>
    <row r="6" spans="5:31" x14ac:dyDescent="0.3">
      <c r="E6" t="s">
        <v>41</v>
      </c>
      <c r="F6" t="s">
        <v>100</v>
      </c>
      <c r="G6" t="s">
        <v>101</v>
      </c>
      <c r="H6" t="s">
        <v>103</v>
      </c>
      <c r="I6" t="s">
        <v>102</v>
      </c>
      <c r="J6" t="s">
        <v>105</v>
      </c>
    </row>
    <row r="7" spans="5:31" x14ac:dyDescent="0.3">
      <c r="E7" s="32" t="s">
        <v>9</v>
      </c>
      <c r="F7" s="32" t="s">
        <v>97</v>
      </c>
      <c r="G7" s="32" t="s">
        <v>98</v>
      </c>
      <c r="H7" s="32" t="s">
        <v>104</v>
      </c>
      <c r="I7" s="32" t="s">
        <v>99</v>
      </c>
      <c r="J7" s="41" t="s">
        <v>106</v>
      </c>
      <c r="K7" s="32" t="s">
        <v>75</v>
      </c>
      <c r="Q7" t="s">
        <v>87</v>
      </c>
      <c r="T7" t="s">
        <v>108</v>
      </c>
      <c r="U7" t="s">
        <v>109</v>
      </c>
      <c r="X7" t="s">
        <v>108</v>
      </c>
      <c r="Y7" t="s">
        <v>110</v>
      </c>
    </row>
    <row r="8" spans="5:31" x14ac:dyDescent="0.3">
      <c r="E8" s="32" t="s">
        <v>13</v>
      </c>
      <c r="F8" s="32" t="s">
        <v>90</v>
      </c>
      <c r="G8" s="32" t="s">
        <v>90</v>
      </c>
      <c r="H8" s="32"/>
      <c r="I8" s="32"/>
      <c r="J8" s="41"/>
      <c r="K8" s="37" t="s">
        <v>91</v>
      </c>
      <c r="Q8" t="s">
        <v>9</v>
      </c>
      <c r="R8" t="s">
        <v>107</v>
      </c>
      <c r="T8" s="16">
        <v>0</v>
      </c>
      <c r="U8" s="16">
        <v>0.1188208</v>
      </c>
      <c r="V8" s="42">
        <f>1/U8</f>
        <v>8.4160349029799502</v>
      </c>
      <c r="X8" s="16">
        <v>0</v>
      </c>
      <c r="Y8" s="16">
        <v>8.4270659999999997E-2</v>
      </c>
      <c r="Z8" s="42">
        <f>1/Y8</f>
        <v>11.866526261927936</v>
      </c>
      <c r="AA8" s="16"/>
      <c r="AB8" s="16"/>
      <c r="AC8" s="16"/>
      <c r="AD8" s="16"/>
      <c r="AE8" s="16"/>
    </row>
    <row r="9" spans="5:31" x14ac:dyDescent="0.3">
      <c r="E9" s="18">
        <v>0</v>
      </c>
      <c r="F9" s="19">
        <f>Tube_C_G_Nor!I18</f>
        <v>89.336545448420694</v>
      </c>
      <c r="G9" s="19">
        <f>Tube_2504_Norm!I18</f>
        <v>7.9875681446416316</v>
      </c>
      <c r="H9" s="19"/>
      <c r="I9" s="19"/>
      <c r="J9" s="19"/>
      <c r="K9" s="19">
        <f>MAX(F9:J9)</f>
        <v>89.336545448420694</v>
      </c>
      <c r="Q9">
        <v>1311</v>
      </c>
      <c r="R9">
        <v>76.17</v>
      </c>
      <c r="T9" s="16">
        <v>100</v>
      </c>
      <c r="U9" s="16">
        <v>0.11454060000000001</v>
      </c>
      <c r="V9" s="42">
        <f t="shared" ref="V9:V21" si="0">1/U9</f>
        <v>8.730528738281448</v>
      </c>
      <c r="X9" s="16">
        <v>100</v>
      </c>
      <c r="Y9" s="16">
        <v>8.0453579999999997E-2</v>
      </c>
      <c r="Z9" s="42">
        <f t="shared" ref="Z9:Z21" si="1">1/Y9</f>
        <v>12.429527685405672</v>
      </c>
      <c r="AA9" s="16"/>
      <c r="AB9" s="16"/>
      <c r="AC9" s="16"/>
      <c r="AD9" s="16"/>
      <c r="AE9" s="16"/>
    </row>
    <row r="10" spans="5:31" x14ac:dyDescent="0.3">
      <c r="E10" s="18">
        <f>E9+100</f>
        <v>100</v>
      </c>
      <c r="F10" s="19">
        <f>Tube_C_G_Nor!I19</f>
        <v>12.829835417323633</v>
      </c>
      <c r="G10" s="19">
        <f>Tube_2504_Norm!I19</f>
        <v>8.6495476322516112</v>
      </c>
      <c r="H10" s="19"/>
      <c r="I10" s="19"/>
      <c r="J10" s="19"/>
      <c r="K10" s="19">
        <f t="shared" ref="K10:K23" si="2">MAX(F10:J10)</f>
        <v>12.829835417323633</v>
      </c>
      <c r="Q10">
        <v>1238</v>
      </c>
      <c r="R10">
        <v>52.6</v>
      </c>
      <c r="T10" s="16">
        <v>300</v>
      </c>
      <c r="U10" s="16">
        <v>0.1058475</v>
      </c>
      <c r="V10" s="42">
        <f t="shared" si="0"/>
        <v>9.4475542643898063</v>
      </c>
      <c r="X10" s="16">
        <v>300</v>
      </c>
      <c r="Y10" s="16">
        <v>7.2198449999999997E-2</v>
      </c>
      <c r="Z10" s="42">
        <f t="shared" si="1"/>
        <v>13.850712861564203</v>
      </c>
      <c r="AA10" s="16"/>
      <c r="AB10" s="16"/>
      <c r="AC10" s="16"/>
      <c r="AD10" s="16"/>
      <c r="AE10" s="16"/>
    </row>
    <row r="11" spans="5:31" x14ac:dyDescent="0.3">
      <c r="E11" s="18">
        <f t="shared" ref="E11:E23" si="3">E10+100</f>
        <v>200</v>
      </c>
      <c r="F11" s="19">
        <f>Tube_C_G_Nor!I20</f>
        <v>14.054832733250798</v>
      </c>
      <c r="G11" s="19">
        <f>Tube_2504_Norm!I20</f>
        <v>9.406572780893514</v>
      </c>
      <c r="H11" s="19"/>
      <c r="I11" s="19"/>
      <c r="J11" s="19"/>
      <c r="K11" s="19">
        <f t="shared" si="2"/>
        <v>14.054832733250798</v>
      </c>
      <c r="Q11">
        <v>1166</v>
      </c>
      <c r="R11">
        <v>42.76</v>
      </c>
      <c r="T11" s="16">
        <v>400</v>
      </c>
      <c r="U11" s="16">
        <v>0.1016446</v>
      </c>
      <c r="V11" s="42">
        <f t="shared" si="0"/>
        <v>9.8382009472219867</v>
      </c>
      <c r="X11" s="16">
        <v>400</v>
      </c>
      <c r="Y11" s="16">
        <v>6.8176559999999997E-2</v>
      </c>
      <c r="Z11" s="42">
        <f t="shared" si="1"/>
        <v>14.667797847236645</v>
      </c>
      <c r="AA11" s="16"/>
      <c r="AB11" s="16"/>
      <c r="AC11" s="16"/>
      <c r="AD11" s="16"/>
      <c r="AE11" s="16"/>
    </row>
    <row r="12" spans="5:31" x14ac:dyDescent="0.3">
      <c r="E12" s="18">
        <f t="shared" si="3"/>
        <v>300</v>
      </c>
      <c r="F12" s="19">
        <f>Tube_C_G_Nor!I21</f>
        <v>15.539181468987593</v>
      </c>
      <c r="G12" s="19">
        <f>Tube_2504_Norm!I21</f>
        <v>10.308728389849877</v>
      </c>
      <c r="H12" s="19"/>
      <c r="I12" s="19"/>
      <c r="J12" s="19"/>
      <c r="K12" s="19">
        <f t="shared" si="2"/>
        <v>15.539181468987593</v>
      </c>
      <c r="Q12">
        <v>1093</v>
      </c>
      <c r="R12">
        <v>36.020000000000003</v>
      </c>
      <c r="T12" s="16">
        <v>600</v>
      </c>
      <c r="U12" s="16">
        <v>9.3116749999999998E-2</v>
      </c>
      <c r="V12" s="42">
        <f t="shared" si="0"/>
        <v>10.739206426341125</v>
      </c>
      <c r="X12" s="16">
        <v>600</v>
      </c>
      <c r="Y12" s="16">
        <v>6.0016949999999999E-2</v>
      </c>
      <c r="Z12" s="42">
        <f t="shared" si="1"/>
        <v>16.66195966306185</v>
      </c>
      <c r="AA12" s="16"/>
      <c r="AB12" s="16"/>
      <c r="AC12" s="16"/>
      <c r="AD12" s="16"/>
      <c r="AE12" s="16"/>
    </row>
    <row r="13" spans="5:31" x14ac:dyDescent="0.3">
      <c r="E13" s="18">
        <f t="shared" si="3"/>
        <v>400</v>
      </c>
      <c r="F13" s="19">
        <f>Tube_C_G_Nor!I22</f>
        <v>17.374061852648666</v>
      </c>
      <c r="G13" s="19">
        <f>Tube_2504_Norm!I22</f>
        <v>11.402096757508767</v>
      </c>
      <c r="H13" s="19"/>
      <c r="I13" s="19"/>
      <c r="J13" s="19"/>
      <c r="K13" s="19">
        <f t="shared" si="2"/>
        <v>17.374061852648666</v>
      </c>
      <c r="Q13">
        <v>1020</v>
      </c>
      <c r="R13">
        <v>31.11</v>
      </c>
      <c r="T13" s="16">
        <v>700</v>
      </c>
      <c r="U13" s="16">
        <v>8.8812829999999995E-2</v>
      </c>
      <c r="V13" s="42">
        <f t="shared" si="0"/>
        <v>11.259634446959973</v>
      </c>
      <c r="X13" s="16">
        <v>700</v>
      </c>
      <c r="Y13" s="16">
        <v>5.58822E-2</v>
      </c>
      <c r="Z13" s="42">
        <f t="shared" si="1"/>
        <v>17.894785817308552</v>
      </c>
      <c r="AA13" s="16"/>
      <c r="AB13" s="16"/>
      <c r="AC13" s="16"/>
      <c r="AD13" s="16"/>
      <c r="AE13" s="16"/>
    </row>
    <row r="14" spans="5:31" x14ac:dyDescent="0.3">
      <c r="E14" s="18">
        <f t="shared" si="3"/>
        <v>500</v>
      </c>
      <c r="F14" s="19">
        <f>Tube_C_G_Nor!I23</f>
        <v>19.701217528436246</v>
      </c>
      <c r="G14" s="19">
        <f>Tube_2504_Norm!I23</f>
        <v>12.754632961433867</v>
      </c>
      <c r="H14" s="19"/>
      <c r="I14" s="19"/>
      <c r="J14" s="19"/>
      <c r="K14" s="19">
        <f t="shared" si="2"/>
        <v>19.701217528436246</v>
      </c>
      <c r="Q14">
        <v>874</v>
      </c>
      <c r="R14">
        <v>24.45</v>
      </c>
      <c r="T14" s="16">
        <v>800</v>
      </c>
      <c r="U14" s="16">
        <v>8.4491200000000002E-2</v>
      </c>
      <c r="V14" s="42">
        <f t="shared" si="0"/>
        <v>11.835552104834585</v>
      </c>
      <c r="X14" s="16">
        <v>800</v>
      </c>
      <c r="Y14" s="16">
        <v>5.1718E-2</v>
      </c>
      <c r="Z14" s="42">
        <f t="shared" si="1"/>
        <v>19.33562782783557</v>
      </c>
      <c r="AA14" s="16"/>
      <c r="AB14" s="16"/>
      <c r="AC14" s="16"/>
      <c r="AD14" s="16"/>
      <c r="AE14" s="16"/>
    </row>
    <row r="15" spans="5:31" x14ac:dyDescent="0.3">
      <c r="E15" s="18">
        <f t="shared" si="3"/>
        <v>600</v>
      </c>
      <c r="F15" s="19">
        <f>Tube_C_G_Nor!I24</f>
        <v>22.750255469778303</v>
      </c>
      <c r="G15" s="19">
        <f>Tube_2504_Norm!I24</f>
        <v>14.470565053262701</v>
      </c>
      <c r="H15" s="19"/>
      <c r="I15" s="19"/>
      <c r="J15" s="19"/>
      <c r="K15" s="19">
        <f t="shared" si="2"/>
        <v>22.750255469778303</v>
      </c>
      <c r="Q15">
        <v>729</v>
      </c>
      <c r="R15">
        <v>20.14</v>
      </c>
      <c r="T15" s="16">
        <v>900</v>
      </c>
      <c r="U15" s="16">
        <v>8.015108E-2</v>
      </c>
      <c r="V15" s="42">
        <f t="shared" si="0"/>
        <v>12.476438246371726</v>
      </c>
      <c r="X15" s="16">
        <v>900</v>
      </c>
      <c r="Y15" s="16">
        <v>4.7524339999999998E-2</v>
      </c>
      <c r="Z15" s="42">
        <f t="shared" si="1"/>
        <v>21.041849292383652</v>
      </c>
      <c r="AA15" s="16"/>
      <c r="AB15" s="16"/>
      <c r="AC15" s="16"/>
      <c r="AD15" s="16"/>
      <c r="AE15" s="16"/>
    </row>
    <row r="16" spans="5:31" x14ac:dyDescent="0.3">
      <c r="E16" s="18">
        <f t="shared" si="3"/>
        <v>700</v>
      </c>
      <c r="F16" s="19">
        <f>Tube_C_G_Nor!I25</f>
        <v>59.299990000000001</v>
      </c>
      <c r="G16" s="19">
        <f>Tube_2504_Norm!I25</f>
        <v>16.72082309536502</v>
      </c>
      <c r="H16" s="19"/>
      <c r="I16" s="19"/>
      <c r="J16" s="19"/>
      <c r="K16" s="19">
        <f t="shared" si="2"/>
        <v>59.299990000000001</v>
      </c>
      <c r="Q16">
        <v>583</v>
      </c>
      <c r="R16">
        <v>17.12</v>
      </c>
      <c r="T16" s="16">
        <v>1000</v>
      </c>
      <c r="U16" s="16">
        <v>7.5792289999999998E-2</v>
      </c>
      <c r="V16" s="42">
        <f t="shared" si="0"/>
        <v>13.193954160772817</v>
      </c>
      <c r="X16" s="16">
        <v>1000</v>
      </c>
      <c r="Y16" s="16">
        <v>4.3302449999999999E-2</v>
      </c>
      <c r="Z16" s="42">
        <f t="shared" si="1"/>
        <v>23.093381552314014</v>
      </c>
      <c r="AA16" s="16"/>
      <c r="AB16" s="16"/>
      <c r="AC16" s="16"/>
      <c r="AD16" s="16"/>
      <c r="AE16" s="16"/>
    </row>
    <row r="17" spans="5:31" x14ac:dyDescent="0.3">
      <c r="E17" s="18">
        <f t="shared" si="3"/>
        <v>800</v>
      </c>
      <c r="F17" s="19">
        <f>Tube_C_G_Nor!I26</f>
        <v>32.780719788241733</v>
      </c>
      <c r="G17" s="19">
        <f>Tube_2504_Norm!I26</f>
        <v>19.795157910451778</v>
      </c>
      <c r="H17" s="19"/>
      <c r="I17" s="19"/>
      <c r="J17" s="19"/>
      <c r="K17" s="19">
        <f t="shared" si="2"/>
        <v>32.780719788241733</v>
      </c>
      <c r="Q17">
        <v>437</v>
      </c>
      <c r="R17">
        <v>14.89</v>
      </c>
      <c r="T17" s="16">
        <v>1100</v>
      </c>
      <c r="U17" s="16">
        <v>7.1414210000000006E-2</v>
      </c>
      <c r="V17" s="42">
        <f t="shared" si="0"/>
        <v>14.002815406065542</v>
      </c>
      <c r="X17" s="16">
        <v>1100</v>
      </c>
      <c r="Y17" s="16">
        <v>3.9052429999999999E-2</v>
      </c>
      <c r="Z17" s="42">
        <f t="shared" si="1"/>
        <v>25.606601176930603</v>
      </c>
      <c r="AA17" s="16"/>
      <c r="AB17" s="16"/>
      <c r="AC17" s="16"/>
      <c r="AD17" s="16"/>
      <c r="AE17" s="16"/>
    </row>
    <row r="18" spans="5:31" x14ac:dyDescent="0.3">
      <c r="E18" s="18">
        <f t="shared" si="3"/>
        <v>900</v>
      </c>
      <c r="F18" s="19">
        <f>Tube_C_G_Nor!I27</f>
        <v>42.369816690098162</v>
      </c>
      <c r="G18" s="19">
        <f>Tube_2504_Norm!I27</f>
        <v>24.186327614289333</v>
      </c>
      <c r="H18" s="19"/>
      <c r="I18" s="19"/>
      <c r="J18" s="19"/>
      <c r="K18" s="19">
        <f t="shared" si="2"/>
        <v>42.369816690098162</v>
      </c>
      <c r="Q18">
        <v>291</v>
      </c>
      <c r="R18">
        <v>13.17</v>
      </c>
      <c r="T18" s="16">
        <v>1200</v>
      </c>
      <c r="U18" s="16">
        <v>6.7017080000000007E-2</v>
      </c>
      <c r="V18" s="42">
        <f t="shared" si="0"/>
        <v>14.921569247720132</v>
      </c>
      <c r="X18" s="16">
        <v>1200</v>
      </c>
      <c r="Y18" s="16">
        <v>3.471722E-2</v>
      </c>
      <c r="Z18" s="42">
        <f t="shared" si="1"/>
        <v>28.804149641013883</v>
      </c>
      <c r="AA18" s="16"/>
      <c r="AB18" s="16"/>
      <c r="AC18" s="16"/>
      <c r="AD18" s="16"/>
      <c r="AE18" s="16"/>
    </row>
    <row r="19" spans="5:31" x14ac:dyDescent="0.3">
      <c r="E19" s="18">
        <f t="shared" si="3"/>
        <v>1000</v>
      </c>
      <c r="F19" s="19">
        <f>Tube_C_G_Nor!I28</f>
        <v>59.96389244892989</v>
      </c>
      <c r="G19" s="19">
        <f>Tube_2504_Norm!I28</f>
        <v>31.383184525286772</v>
      </c>
      <c r="H19" s="19"/>
      <c r="I19" s="19"/>
      <c r="J19" s="19"/>
      <c r="K19" s="19">
        <f t="shared" si="2"/>
        <v>59.96389244892989</v>
      </c>
      <c r="Q19">
        <v>219</v>
      </c>
      <c r="R19">
        <v>12.46</v>
      </c>
      <c r="T19" s="16">
        <v>1300</v>
      </c>
      <c r="U19" s="16">
        <v>6.2575580000000006E-2</v>
      </c>
      <c r="V19" s="42">
        <f t="shared" si="0"/>
        <v>15.980674889469661</v>
      </c>
      <c r="X19" s="16">
        <v>1300</v>
      </c>
      <c r="Y19" s="16">
        <v>3.0338549999999999E-2</v>
      </c>
      <c r="Z19" s="42">
        <f t="shared" si="1"/>
        <v>32.961364336792627</v>
      </c>
      <c r="AA19" s="16"/>
      <c r="AB19" s="16"/>
      <c r="AC19" s="16"/>
      <c r="AD19" s="16"/>
      <c r="AE19" s="16"/>
    </row>
    <row r="20" spans="5:31" x14ac:dyDescent="0.3">
      <c r="E20" s="18">
        <f t="shared" si="3"/>
        <v>1100</v>
      </c>
      <c r="F20" s="19">
        <f>Tube_C_G_Nor!I29</f>
        <v>100.64039067597992</v>
      </c>
      <c r="G20" s="19">
        <f>Tube_2504_Norm!I29</f>
        <v>44.219692317700769</v>
      </c>
      <c r="H20" s="19"/>
      <c r="I20" s="19"/>
      <c r="J20" s="19"/>
      <c r="K20" s="19">
        <f t="shared" si="2"/>
        <v>100.64039067597992</v>
      </c>
      <c r="Q20">
        <v>146</v>
      </c>
      <c r="R20">
        <v>11.81</v>
      </c>
      <c r="T20" s="16">
        <v>1400</v>
      </c>
      <c r="U20" s="16">
        <v>5.811376E-2</v>
      </c>
      <c r="V20" s="42">
        <f t="shared" si="0"/>
        <v>17.207628623582437</v>
      </c>
      <c r="X20" s="16">
        <v>1400</v>
      </c>
      <c r="Y20" s="16">
        <v>2.5960560000000001E-2</v>
      </c>
      <c r="Z20" s="42">
        <f t="shared" si="1"/>
        <v>38.519970293398906</v>
      </c>
      <c r="AA20" s="16"/>
      <c r="AB20" s="16"/>
      <c r="AC20" s="16"/>
      <c r="AD20" s="16"/>
      <c r="AE20" s="16"/>
    </row>
    <row r="21" spans="5:31" x14ac:dyDescent="0.3">
      <c r="E21" s="18">
        <f t="shared" si="3"/>
        <v>1200</v>
      </c>
      <c r="F21" s="19">
        <f>Tube_C_G_Nor!I30</f>
        <v>298.2520436550783</v>
      </c>
      <c r="G21" s="19">
        <f>Tube_2504_Norm!I30</f>
        <v>75.388716262424921</v>
      </c>
      <c r="H21" s="19"/>
      <c r="I21" s="19"/>
      <c r="J21" s="19"/>
      <c r="K21" s="19">
        <f t="shared" si="2"/>
        <v>298.2520436550783</v>
      </c>
      <c r="Q21">
        <v>73</v>
      </c>
      <c r="R21">
        <v>11.23</v>
      </c>
      <c r="T21" s="16">
        <v>1500</v>
      </c>
      <c r="U21" s="16">
        <v>5.363296E-2</v>
      </c>
      <c r="V21" s="42">
        <f t="shared" si="0"/>
        <v>18.64525097999439</v>
      </c>
      <c r="X21" s="16">
        <v>1500</v>
      </c>
      <c r="Y21" s="16">
        <v>2.1339520000000001E-2</v>
      </c>
      <c r="Z21" s="42">
        <f t="shared" si="1"/>
        <v>46.861410191044598</v>
      </c>
      <c r="AA21" s="16"/>
      <c r="AB21" s="16"/>
      <c r="AC21" s="16"/>
      <c r="AD21" s="16"/>
      <c r="AE21" s="16"/>
    </row>
    <row r="22" spans="5:31" x14ac:dyDescent="0.3">
      <c r="E22" s="18">
        <f t="shared" si="3"/>
        <v>1300</v>
      </c>
      <c r="F22" s="19">
        <f>Tube_C_G_Nor!I31</f>
        <v>9.5052376841143152E+22</v>
      </c>
      <c r="G22" s="19">
        <f>Tube_2504_Norm!I31</f>
        <v>239.27279829251339</v>
      </c>
      <c r="H22" s="19"/>
      <c r="I22" s="19"/>
      <c r="J22" s="19"/>
      <c r="K22" s="19">
        <f t="shared" si="2"/>
        <v>9.5052376841143152E+22</v>
      </c>
      <c r="Q22">
        <v>0</v>
      </c>
      <c r="R22">
        <v>10.71</v>
      </c>
    </row>
    <row r="23" spans="5:31" x14ac:dyDescent="0.3">
      <c r="E23" s="18">
        <f t="shared" si="3"/>
        <v>1400</v>
      </c>
      <c r="F23" s="19">
        <f>Tube_C_G_Nor!I32</f>
        <v>3.802086688631248E+23</v>
      </c>
      <c r="G23" s="19">
        <f>Tube_2504_Norm!I32</f>
        <v>1.4488287178318946E+16</v>
      </c>
      <c r="H23" s="19"/>
      <c r="I23" s="19"/>
      <c r="J23" s="19"/>
      <c r="K23" s="19">
        <f t="shared" si="2"/>
        <v>3.802086688631248E+23</v>
      </c>
    </row>
    <row r="24" spans="5:31" x14ac:dyDescent="0.3">
      <c r="E24" s="18"/>
      <c r="F24" s="19"/>
      <c r="G24" s="19"/>
      <c r="H24" s="19"/>
      <c r="I24" s="19"/>
      <c r="J24" s="19"/>
      <c r="K24" s="19"/>
      <c r="T24" t="s">
        <v>108</v>
      </c>
      <c r="U24" t="s">
        <v>110</v>
      </c>
      <c r="X24" t="s">
        <v>108</v>
      </c>
      <c r="Y24" t="s">
        <v>109</v>
      </c>
      <c r="AB24" s="16"/>
      <c r="AC24" s="42"/>
      <c r="AE24" s="42"/>
    </row>
    <row r="25" spans="5:31" x14ac:dyDescent="0.3">
      <c r="E25" s="18"/>
      <c r="F25" s="19"/>
      <c r="G25" s="19"/>
      <c r="H25" s="19"/>
      <c r="I25" s="19"/>
      <c r="J25" s="19"/>
      <c r="K25" s="19"/>
      <c r="T25" s="16">
        <v>0</v>
      </c>
      <c r="U25" s="16">
        <v>7.3641979999999996E-2</v>
      </c>
      <c r="V25" s="42">
        <f>1/U25</f>
        <v>13.57921120534782</v>
      </c>
      <c r="X25" s="16">
        <v>0</v>
      </c>
      <c r="Y25" s="16">
        <v>0.10599939999999999</v>
      </c>
      <c r="Z25" s="42">
        <f>1/Y25</f>
        <v>9.4340156642396096</v>
      </c>
      <c r="AB25" s="16"/>
      <c r="AC25" s="42"/>
      <c r="AE25" s="42"/>
    </row>
    <row r="26" spans="5:31" x14ac:dyDescent="0.3">
      <c r="E26" s="18"/>
      <c r="F26" s="19"/>
      <c r="G26" s="19"/>
      <c r="H26" s="19"/>
      <c r="I26" s="19"/>
      <c r="J26" s="19"/>
      <c r="K26" s="19"/>
      <c r="T26" s="16">
        <v>100</v>
      </c>
      <c r="U26" s="16">
        <v>6.9783360000000003E-2</v>
      </c>
      <c r="V26" s="42">
        <f t="shared" ref="V26:V38" si="4">1/U26</f>
        <v>14.330063785979924</v>
      </c>
      <c r="X26" s="16">
        <v>100</v>
      </c>
      <c r="Y26" s="16">
        <v>0.1019356</v>
      </c>
      <c r="Z26" s="42">
        <f t="shared" ref="Z26:Z38" si="5">1/Y26</f>
        <v>9.8101154061976388</v>
      </c>
      <c r="AB26" s="16"/>
      <c r="AC26" s="42"/>
      <c r="AE26" s="42"/>
    </row>
    <row r="27" spans="5:31" x14ac:dyDescent="0.3">
      <c r="T27" s="16">
        <v>300</v>
      </c>
      <c r="U27" s="16">
        <v>6.177912E-2</v>
      </c>
      <c r="V27" s="42">
        <f t="shared" si="4"/>
        <v>16.186698677481971</v>
      </c>
      <c r="X27" s="16">
        <v>300</v>
      </c>
      <c r="Y27" s="16">
        <v>9.34889E-2</v>
      </c>
      <c r="Z27" s="42">
        <f t="shared" si="5"/>
        <v>10.696457012543735</v>
      </c>
      <c r="AB27" s="16"/>
      <c r="AC27" s="42"/>
      <c r="AE27" s="42"/>
    </row>
    <row r="28" spans="5:31" x14ac:dyDescent="0.3">
      <c r="E28" t="s">
        <v>44</v>
      </c>
      <c r="T28" s="16">
        <v>400</v>
      </c>
      <c r="U28" s="16">
        <v>5.7832929999999998E-2</v>
      </c>
      <c r="V28" s="42">
        <f t="shared" si="4"/>
        <v>17.291186872254269</v>
      </c>
      <c r="X28" s="16">
        <v>400</v>
      </c>
      <c r="Y28" s="16">
        <v>8.931422E-2</v>
      </c>
      <c r="Z28" s="42">
        <f t="shared" si="5"/>
        <v>11.19642538444606</v>
      </c>
      <c r="AB28" s="16"/>
      <c r="AC28" s="42"/>
      <c r="AE28" s="42"/>
    </row>
    <row r="29" spans="5:31" x14ac:dyDescent="0.3">
      <c r="E29" s="48" t="s">
        <v>9</v>
      </c>
      <c r="F29" s="48" t="s">
        <v>97</v>
      </c>
      <c r="G29" s="48" t="s">
        <v>98</v>
      </c>
      <c r="H29" s="48" t="s">
        <v>75</v>
      </c>
      <c r="T29" s="16">
        <v>600</v>
      </c>
      <c r="U29" s="16">
        <v>4.9830119999999999E-2</v>
      </c>
      <c r="V29" s="42">
        <f t="shared" si="4"/>
        <v>20.068183660805953</v>
      </c>
      <c r="X29" s="16">
        <v>600</v>
      </c>
      <c r="Y29" s="16">
        <v>8.0896040000000002E-2</v>
      </c>
      <c r="Z29" s="42">
        <f t="shared" si="5"/>
        <v>12.361544520597052</v>
      </c>
      <c r="AB29" s="16"/>
      <c r="AC29" s="42"/>
      <c r="AE29" s="42"/>
    </row>
    <row r="30" spans="5:31" x14ac:dyDescent="0.3">
      <c r="E30" s="48" t="s">
        <v>13</v>
      </c>
      <c r="F30" s="48" t="s">
        <v>90</v>
      </c>
      <c r="G30" s="48" t="s">
        <v>90</v>
      </c>
      <c r="H30" s="37" t="s">
        <v>91</v>
      </c>
      <c r="T30" s="16">
        <v>700</v>
      </c>
      <c r="U30" s="16">
        <v>4.5775280000000002E-2</v>
      </c>
      <c r="V30" s="42">
        <f t="shared" si="4"/>
        <v>21.845852171739857</v>
      </c>
      <c r="X30" s="16">
        <v>700</v>
      </c>
      <c r="Y30" s="16">
        <v>7.6654949999999999E-2</v>
      </c>
      <c r="Z30" s="42">
        <f t="shared" si="5"/>
        <v>13.045471949300078</v>
      </c>
      <c r="AB30" s="16"/>
      <c r="AC30" s="42"/>
      <c r="AE30" s="42"/>
    </row>
    <row r="31" spans="5:31" x14ac:dyDescent="0.3">
      <c r="E31" s="49">
        <v>0</v>
      </c>
      <c r="F31" s="19">
        <f>Tube_C_G_AbNorm!I18</f>
        <v>7.5937661703726196</v>
      </c>
      <c r="G31" s="19">
        <f>Tube_2504_Norm!I18</f>
        <v>7.9875681446416316</v>
      </c>
      <c r="H31" s="19">
        <f>MAX(F31:G31)</f>
        <v>7.9875681446416316</v>
      </c>
      <c r="T31" s="16">
        <v>800</v>
      </c>
      <c r="U31" s="16">
        <v>4.1686460000000002E-2</v>
      </c>
      <c r="V31" s="42">
        <f t="shared" si="4"/>
        <v>23.988604453340486</v>
      </c>
      <c r="X31" s="16">
        <v>800</v>
      </c>
      <c r="Y31" s="16">
        <v>7.2391940000000002E-2</v>
      </c>
      <c r="Z31" s="42">
        <f t="shared" si="5"/>
        <v>13.813692518808033</v>
      </c>
      <c r="AB31" s="16"/>
      <c r="AC31" s="42"/>
      <c r="AE31" s="42"/>
    </row>
    <row r="32" spans="5:31" x14ac:dyDescent="0.3">
      <c r="E32" s="49">
        <f>E31+100</f>
        <v>100</v>
      </c>
      <c r="F32" s="19">
        <f>Tube_C_G_AbNorm!I19</f>
        <v>7.9276794473375842</v>
      </c>
      <c r="G32" s="19">
        <f>Tube_2504_Norm!I19</f>
        <v>8.6495476322516112</v>
      </c>
      <c r="H32" s="19">
        <f t="shared" ref="H32:H45" si="6">MAX(F32:G32)</f>
        <v>8.6495476322516112</v>
      </c>
      <c r="T32" s="16">
        <v>900</v>
      </c>
      <c r="U32" s="16">
        <v>3.7564859999999999E-2</v>
      </c>
      <c r="V32" s="42">
        <f t="shared" si="4"/>
        <v>26.620623636025798</v>
      </c>
      <c r="X32" s="16">
        <v>900</v>
      </c>
      <c r="Y32" s="16">
        <v>6.8106669999999994E-2</v>
      </c>
      <c r="Z32" s="42">
        <f t="shared" si="5"/>
        <v>14.68284971207666</v>
      </c>
      <c r="AB32" s="16"/>
      <c r="AC32" s="42"/>
      <c r="AE32" s="42"/>
    </row>
    <row r="33" spans="5:31" x14ac:dyDescent="0.3">
      <c r="E33" s="49">
        <f t="shared" ref="E33:E45" si="7">E32+100</f>
        <v>200</v>
      </c>
      <c r="F33" s="19">
        <f>Tube_C_G_AbNorm!I20</f>
        <v>8.2887997363493593</v>
      </c>
      <c r="G33" s="19">
        <f>Tube_2504_Norm!I20</f>
        <v>9.406572780893514</v>
      </c>
      <c r="H33" s="19">
        <f t="shared" si="6"/>
        <v>9.406572780893514</v>
      </c>
      <c r="T33" s="16">
        <v>1000</v>
      </c>
      <c r="U33" s="16">
        <v>3.3394390000000003E-2</v>
      </c>
      <c r="V33" s="42">
        <f t="shared" si="4"/>
        <v>29.945149469716316</v>
      </c>
      <c r="X33" s="16">
        <v>1000</v>
      </c>
      <c r="Y33" s="16">
        <v>6.3785990000000001E-2</v>
      </c>
      <c r="Z33" s="42">
        <f t="shared" si="5"/>
        <v>15.677423835547586</v>
      </c>
      <c r="AB33" s="16"/>
      <c r="AC33" s="42"/>
      <c r="AE33" s="42"/>
    </row>
    <row r="34" spans="5:31" x14ac:dyDescent="0.3">
      <c r="E34" s="49">
        <f t="shared" si="7"/>
        <v>300</v>
      </c>
      <c r="F34" s="19">
        <f>Tube_C_G_AbNorm!I21</f>
        <v>8.6845189839652548</v>
      </c>
      <c r="G34" s="19">
        <f>Tube_2504_Norm!I21</f>
        <v>10.308728389849877</v>
      </c>
      <c r="H34" s="19">
        <f t="shared" si="6"/>
        <v>10.308728389849877</v>
      </c>
      <c r="T34" s="16">
        <v>1100</v>
      </c>
      <c r="U34" s="16">
        <v>2.913746E-2</v>
      </c>
      <c r="V34" s="42">
        <f t="shared" si="4"/>
        <v>34.320081434689229</v>
      </c>
      <c r="X34" s="16">
        <v>1100</v>
      </c>
      <c r="Y34" s="16">
        <v>5.9431680000000001E-2</v>
      </c>
      <c r="Z34" s="42">
        <f t="shared" si="5"/>
        <v>16.826042945445931</v>
      </c>
      <c r="AB34" s="16"/>
      <c r="AC34" s="42"/>
      <c r="AE34" s="42"/>
    </row>
    <row r="35" spans="5:31" x14ac:dyDescent="0.3">
      <c r="E35" s="49">
        <f t="shared" si="7"/>
        <v>400</v>
      </c>
      <c r="F35" s="19">
        <f>Tube_C_G_AbNorm!I22</f>
        <v>9.1201098213737204</v>
      </c>
      <c r="G35" s="19">
        <f>Tube_2504_Norm!I22</f>
        <v>11.402096757508767</v>
      </c>
      <c r="H35" s="19">
        <f t="shared" si="6"/>
        <v>11.402096757508767</v>
      </c>
      <c r="T35" s="16">
        <v>1200</v>
      </c>
      <c r="U35" s="16">
        <v>2.4854299999999999E-2</v>
      </c>
      <c r="V35" s="42">
        <f t="shared" si="4"/>
        <v>40.234486587833899</v>
      </c>
      <c r="X35" s="16">
        <v>1200</v>
      </c>
      <c r="Y35" s="16">
        <v>5.5055239999999998E-2</v>
      </c>
      <c r="Z35" s="42">
        <f t="shared" si="5"/>
        <v>18.163575347233071</v>
      </c>
      <c r="AB35" s="16"/>
      <c r="AC35" s="42"/>
      <c r="AE35" s="42"/>
    </row>
    <row r="36" spans="5:31" x14ac:dyDescent="0.3">
      <c r="E36" s="49">
        <f t="shared" si="7"/>
        <v>500</v>
      </c>
      <c r="F36" s="19">
        <f>Tube_C_G_AbNorm!I23</f>
        <v>9.6019969546133375</v>
      </c>
      <c r="G36" s="19">
        <f>Tube_2504_Norm!I23</f>
        <v>12.754632961433867</v>
      </c>
      <c r="H36" s="19">
        <f t="shared" si="6"/>
        <v>12.754632961433867</v>
      </c>
      <c r="T36" s="16">
        <v>1300</v>
      </c>
      <c r="U36" s="16">
        <v>2.0479089999999998E-2</v>
      </c>
      <c r="V36" s="42">
        <f t="shared" si="4"/>
        <v>48.830294705477641</v>
      </c>
      <c r="X36" s="16">
        <v>1300</v>
      </c>
      <c r="Y36" s="16">
        <v>5.0656640000000003E-2</v>
      </c>
      <c r="Z36" s="42">
        <f t="shared" si="5"/>
        <v>19.740748695531327</v>
      </c>
      <c r="AB36" s="16"/>
      <c r="AC36" s="42"/>
      <c r="AE36" s="42"/>
    </row>
    <row r="37" spans="5:31" x14ac:dyDescent="0.3">
      <c r="E37" s="49">
        <f t="shared" si="7"/>
        <v>600</v>
      </c>
      <c r="F37" s="19">
        <f>Tube_C_G_AbNorm!I24</f>
        <v>10.138099544232864</v>
      </c>
      <c r="G37" s="19">
        <f>Tube_2504_Norm!I24</f>
        <v>14.470565053262701</v>
      </c>
      <c r="H37" s="19">
        <f t="shared" si="6"/>
        <v>14.470565053262701</v>
      </c>
      <c r="T37" s="16">
        <v>1400</v>
      </c>
      <c r="U37" s="16">
        <v>1.5884800000000001E-2</v>
      </c>
      <c r="V37" s="42">
        <f t="shared" si="4"/>
        <v>62.953263497179691</v>
      </c>
      <c r="X37" s="16">
        <v>1400</v>
      </c>
      <c r="Y37" s="16">
        <v>4.6236520000000003E-2</v>
      </c>
      <c r="Z37" s="42">
        <f t="shared" si="5"/>
        <v>21.627925285034426</v>
      </c>
      <c r="AB37" s="16"/>
      <c r="AC37" s="42"/>
      <c r="AE37" s="42"/>
    </row>
    <row r="38" spans="5:31" x14ac:dyDescent="0.3">
      <c r="E38" s="49">
        <f t="shared" si="7"/>
        <v>700</v>
      </c>
      <c r="F38" s="19">
        <f>Tube_C_G_AbNorm!I25</f>
        <v>10.738312814711445</v>
      </c>
      <c r="G38" s="19">
        <f>Tube_2504_Norm!I25</f>
        <v>16.72082309536502</v>
      </c>
      <c r="H38" s="19">
        <f t="shared" si="6"/>
        <v>16.72082309536502</v>
      </c>
      <c r="T38" s="16">
        <v>1500</v>
      </c>
      <c r="U38" s="16">
        <v>1.121078E-2</v>
      </c>
      <c r="V38" s="42">
        <f t="shared" si="4"/>
        <v>89.199859421021557</v>
      </c>
      <c r="X38" s="16">
        <v>1500</v>
      </c>
      <c r="Y38" s="16">
        <v>4.1722200000000001E-2</v>
      </c>
      <c r="Z38" s="42">
        <f t="shared" si="5"/>
        <v>23.968055375795139</v>
      </c>
    </row>
    <row r="39" spans="5:31" x14ac:dyDescent="0.3">
      <c r="E39" s="49">
        <f t="shared" si="7"/>
        <v>800</v>
      </c>
      <c r="F39" s="19">
        <f>Tube_C_G_AbNorm!I26</f>
        <v>11.415201024945707</v>
      </c>
      <c r="G39" s="19">
        <f>Tube_2504_Norm!I26</f>
        <v>19.795157910451778</v>
      </c>
      <c r="H39" s="19">
        <f t="shared" si="6"/>
        <v>19.795157910451778</v>
      </c>
    </row>
    <row r="40" spans="5:31" x14ac:dyDescent="0.3">
      <c r="E40" s="49">
        <f t="shared" si="7"/>
        <v>900</v>
      </c>
      <c r="F40" s="19">
        <f>Tube_C_G_AbNorm!I27</f>
        <v>12.185028575728886</v>
      </c>
      <c r="G40" s="19">
        <f>Tube_2504_Norm!I27</f>
        <v>24.186327614289333</v>
      </c>
      <c r="H40" s="19">
        <f t="shared" si="6"/>
        <v>24.186327614289333</v>
      </c>
      <c r="O40">
        <f>1.5*25.4</f>
        <v>38.099999999999994</v>
      </c>
    </row>
    <row r="41" spans="5:31" x14ac:dyDescent="0.3">
      <c r="E41" s="49">
        <f t="shared" si="7"/>
        <v>1000</v>
      </c>
      <c r="F41" s="19">
        <f>Tube_C_G_AbNorm!I28</f>
        <v>13.038891560590747</v>
      </c>
      <c r="G41" s="19">
        <f>Tube_2504_Norm!I28</f>
        <v>31.383184525286772</v>
      </c>
      <c r="H41" s="19">
        <f t="shared" si="6"/>
        <v>31.383184525286772</v>
      </c>
      <c r="M41">
        <f>0.215/2</f>
        <v>0.1075</v>
      </c>
      <c r="O41">
        <f>O40+2*4.6</f>
        <v>47.3</v>
      </c>
    </row>
    <row r="42" spans="5:31" x14ac:dyDescent="0.3">
      <c r="E42" s="49">
        <f t="shared" si="7"/>
        <v>1100</v>
      </c>
      <c r="F42" s="19">
        <f>Tube_C_G_AbNorm!I29</f>
        <v>14.049695270221134</v>
      </c>
      <c r="G42" s="19">
        <f>Tube_2504_Norm!I29</f>
        <v>44.219692317700769</v>
      </c>
      <c r="H42" s="19">
        <f t="shared" si="6"/>
        <v>44.219692317700769</v>
      </c>
      <c r="M42">
        <f>212*M41</f>
        <v>22.79</v>
      </c>
      <c r="O42">
        <f>O41/2</f>
        <v>23.65</v>
      </c>
      <c r="P42">
        <f>O42*210000</f>
        <v>4966500</v>
      </c>
    </row>
    <row r="43" spans="5:31" x14ac:dyDescent="0.3">
      <c r="E43" s="49">
        <f t="shared" si="7"/>
        <v>1200</v>
      </c>
      <c r="F43" s="19">
        <f>Tube_C_G_AbNorm!I30</f>
        <v>15.223621264542512</v>
      </c>
      <c r="G43" s="19">
        <f>Tube_2504_Norm!I30</f>
        <v>75.388716262424921</v>
      </c>
      <c r="H43" s="19">
        <f t="shared" si="6"/>
        <v>75.388716262424921</v>
      </c>
    </row>
    <row r="44" spans="5:31" x14ac:dyDescent="0.3">
      <c r="E44" s="49">
        <f t="shared" si="7"/>
        <v>1300</v>
      </c>
      <c r="F44" s="19">
        <f>Tube_C_G_AbNorm!I31</f>
        <v>16.609045608314982</v>
      </c>
      <c r="G44" s="19">
        <f>Tube_2504_Norm!I31</f>
        <v>239.27279829251339</v>
      </c>
      <c r="H44" s="19">
        <f t="shared" si="6"/>
        <v>239.27279829251339</v>
      </c>
    </row>
    <row r="45" spans="5:31" x14ac:dyDescent="0.3">
      <c r="E45" s="49">
        <f t="shared" si="7"/>
        <v>1400</v>
      </c>
      <c r="F45" s="19">
        <f>Tube_C_G_AbNorm!I32</f>
        <v>18.278226737097917</v>
      </c>
      <c r="G45" s="19">
        <f>Tube_2504_Norm!I32</f>
        <v>1.4488287178318946E+16</v>
      </c>
      <c r="H45" s="19">
        <f t="shared" si="6"/>
        <v>1.4488287178318946E+16</v>
      </c>
      <c r="M45" s="38"/>
    </row>
    <row r="62" spans="13:13" x14ac:dyDescent="0.3">
      <c r="M62" s="38"/>
    </row>
  </sheetData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8F4AC-1554-4BFC-B0D5-4914F0820221}">
  <dimension ref="E4:L19"/>
  <sheetViews>
    <sheetView workbookViewId="0">
      <selection activeCell="O10" sqref="O10"/>
    </sheetView>
  </sheetViews>
  <sheetFormatPr defaultRowHeight="14.4" x14ac:dyDescent="0.3"/>
  <sheetData>
    <row r="4" spans="5:12" x14ac:dyDescent="0.3">
      <c r="E4" s="74" t="s">
        <v>111</v>
      </c>
      <c r="F4" s="74"/>
      <c r="G4" s="74" t="s">
        <v>112</v>
      </c>
      <c r="H4" s="74"/>
      <c r="I4" s="74" t="s">
        <v>113</v>
      </c>
      <c r="J4" s="74"/>
      <c r="K4" s="74" t="s">
        <v>114</v>
      </c>
      <c r="L4" s="74"/>
    </row>
    <row r="5" spans="5:12" x14ac:dyDescent="0.3">
      <c r="E5" s="18" t="s">
        <v>107</v>
      </c>
      <c r="F5" s="18" t="s">
        <v>9</v>
      </c>
      <c r="G5" s="18" t="s">
        <v>107</v>
      </c>
      <c r="H5" s="18" t="s">
        <v>9</v>
      </c>
      <c r="I5" s="18" t="s">
        <v>107</v>
      </c>
      <c r="J5" s="18" t="s">
        <v>9</v>
      </c>
      <c r="K5" s="18" t="s">
        <v>107</v>
      </c>
      <c r="L5" s="18" t="s">
        <v>9</v>
      </c>
    </row>
    <row r="6" spans="5:12" x14ac:dyDescent="0.3">
      <c r="E6" s="18">
        <v>76.2</v>
      </c>
      <c r="F6" s="18">
        <v>1269</v>
      </c>
      <c r="G6" s="18">
        <v>76.2</v>
      </c>
      <c r="H6" s="18">
        <v>1269</v>
      </c>
      <c r="I6" s="18">
        <v>118.1</v>
      </c>
      <c r="J6" s="18">
        <v>1122.3</v>
      </c>
      <c r="K6" s="18">
        <v>118.1</v>
      </c>
      <c r="L6" s="18">
        <v>1159</v>
      </c>
    </row>
    <row r="7" spans="5:12" x14ac:dyDescent="0.3">
      <c r="E7" s="18">
        <v>52.6</v>
      </c>
      <c r="F7" s="18">
        <v>1199.4000000000001</v>
      </c>
      <c r="G7" s="18">
        <v>24</v>
      </c>
      <c r="H7" s="18">
        <v>1269</v>
      </c>
      <c r="I7" s="18">
        <v>78.7</v>
      </c>
      <c r="J7" s="18">
        <v>1060</v>
      </c>
      <c r="K7" s="18">
        <v>31</v>
      </c>
      <c r="L7" s="18">
        <v>1159</v>
      </c>
    </row>
    <row r="8" spans="5:12" x14ac:dyDescent="0.3">
      <c r="E8" s="18">
        <v>42.8</v>
      </c>
      <c r="F8" s="18">
        <v>1128.8</v>
      </c>
      <c r="G8" s="18">
        <v>24</v>
      </c>
      <c r="H8" s="18">
        <v>1269</v>
      </c>
      <c r="I8" s="18">
        <v>59.1</v>
      </c>
      <c r="J8" s="18">
        <v>997.6</v>
      </c>
      <c r="K8" s="18">
        <v>31</v>
      </c>
      <c r="L8" s="18">
        <v>1159</v>
      </c>
    </row>
    <row r="9" spans="5:12" x14ac:dyDescent="0.3">
      <c r="E9" s="18">
        <v>36</v>
      </c>
      <c r="F9" s="18">
        <v>1058.3</v>
      </c>
      <c r="G9" s="18">
        <v>24</v>
      </c>
      <c r="H9" s="18">
        <v>1269</v>
      </c>
      <c r="I9" s="18">
        <v>47.2</v>
      </c>
      <c r="J9" s="18">
        <v>935.3</v>
      </c>
      <c r="K9" s="18">
        <v>31</v>
      </c>
      <c r="L9" s="18">
        <v>1159</v>
      </c>
    </row>
    <row r="10" spans="5:12" x14ac:dyDescent="0.3">
      <c r="E10" s="18">
        <v>31.1</v>
      </c>
      <c r="F10" s="18">
        <v>987.7</v>
      </c>
      <c r="G10" s="18">
        <v>24</v>
      </c>
      <c r="H10" s="18">
        <v>1269</v>
      </c>
      <c r="I10" s="18">
        <v>39.4</v>
      </c>
      <c r="J10" s="18">
        <v>872.9</v>
      </c>
      <c r="K10" s="18">
        <v>25.8</v>
      </c>
      <c r="L10" s="18">
        <v>1159</v>
      </c>
    </row>
    <row r="11" spans="5:12" x14ac:dyDescent="0.3">
      <c r="E11" s="18">
        <v>24.5</v>
      </c>
      <c r="F11" s="18">
        <v>846.6</v>
      </c>
      <c r="G11" s="18">
        <v>18.2</v>
      </c>
      <c r="H11" s="18">
        <v>1269</v>
      </c>
      <c r="I11" s="18">
        <v>29.5</v>
      </c>
      <c r="J11" s="18">
        <v>748.2</v>
      </c>
      <c r="K11" s="18">
        <v>19.3</v>
      </c>
      <c r="L11" s="18">
        <v>1141.8</v>
      </c>
    </row>
    <row r="12" spans="5:12" x14ac:dyDescent="0.3">
      <c r="E12" s="18">
        <v>20.100000000000001</v>
      </c>
      <c r="F12" s="18">
        <v>705.5</v>
      </c>
      <c r="G12" s="18">
        <v>14.6</v>
      </c>
      <c r="H12" s="18">
        <v>1076</v>
      </c>
      <c r="I12" s="18">
        <v>23.6</v>
      </c>
      <c r="J12" s="18">
        <v>623.5</v>
      </c>
      <c r="K12" s="18">
        <v>15.5</v>
      </c>
      <c r="L12" s="18">
        <v>951.5</v>
      </c>
    </row>
    <row r="13" spans="5:12" x14ac:dyDescent="0.3">
      <c r="E13" s="18">
        <v>17.100000000000001</v>
      </c>
      <c r="F13" s="18">
        <v>564.4</v>
      </c>
      <c r="G13" s="18">
        <v>12.6</v>
      </c>
      <c r="H13" s="18">
        <v>860.8</v>
      </c>
      <c r="I13" s="18">
        <v>19.7</v>
      </c>
      <c r="J13" s="18">
        <v>498.8</v>
      </c>
      <c r="K13" s="18">
        <v>12.9</v>
      </c>
      <c r="L13" s="18">
        <v>761.2</v>
      </c>
    </row>
    <row r="14" spans="5:12" x14ac:dyDescent="0.3">
      <c r="E14" s="18">
        <v>14.9</v>
      </c>
      <c r="F14" s="18">
        <v>423.3</v>
      </c>
      <c r="G14" s="18">
        <v>11.1</v>
      </c>
      <c r="H14" s="18">
        <v>645.6</v>
      </c>
      <c r="I14" s="18">
        <v>16.899999999999999</v>
      </c>
      <c r="J14" s="18">
        <v>374.1</v>
      </c>
      <c r="K14" s="18">
        <v>11.1</v>
      </c>
      <c r="L14" s="18">
        <v>570.9</v>
      </c>
    </row>
    <row r="15" spans="5:12" x14ac:dyDescent="0.3">
      <c r="E15" s="18">
        <v>13.2</v>
      </c>
      <c r="F15" s="18">
        <v>282.2</v>
      </c>
      <c r="G15" s="18">
        <v>9.9</v>
      </c>
      <c r="H15" s="18">
        <v>430.4</v>
      </c>
      <c r="I15" s="18">
        <v>14.8</v>
      </c>
      <c r="J15" s="18">
        <v>249.4</v>
      </c>
      <c r="K15" s="18">
        <v>9.9</v>
      </c>
      <c r="L15" s="18">
        <v>380.6</v>
      </c>
    </row>
    <row r="16" spans="5:12" x14ac:dyDescent="0.3">
      <c r="E16" s="18">
        <v>12.5</v>
      </c>
      <c r="F16" s="18">
        <v>211.7</v>
      </c>
      <c r="G16" s="18">
        <v>9.4</v>
      </c>
      <c r="H16" s="18">
        <v>322.8</v>
      </c>
      <c r="I16" s="18">
        <v>13.9</v>
      </c>
      <c r="J16" s="18">
        <v>187.1</v>
      </c>
      <c r="K16" s="18">
        <v>9.4</v>
      </c>
      <c r="L16" s="18">
        <v>285.5</v>
      </c>
    </row>
    <row r="17" spans="5:12" x14ac:dyDescent="0.3">
      <c r="E17" s="18">
        <v>11.8</v>
      </c>
      <c r="F17" s="18">
        <v>141.1</v>
      </c>
      <c r="G17" s="18">
        <v>8.9</v>
      </c>
      <c r="H17" s="18">
        <v>215.2</v>
      </c>
      <c r="I17" s="18">
        <v>13.1</v>
      </c>
      <c r="J17" s="18">
        <v>124.7</v>
      </c>
      <c r="K17" s="18">
        <v>9</v>
      </c>
      <c r="L17" s="18">
        <v>190.3</v>
      </c>
    </row>
    <row r="18" spans="5:12" x14ac:dyDescent="0.3">
      <c r="E18" s="18">
        <v>11.2</v>
      </c>
      <c r="F18" s="18">
        <v>70.599999999999994</v>
      </c>
      <c r="G18" s="18">
        <v>8.5</v>
      </c>
      <c r="H18" s="18">
        <v>107.6</v>
      </c>
      <c r="I18" s="18">
        <v>12.4</v>
      </c>
      <c r="J18" s="18">
        <v>62.4</v>
      </c>
      <c r="K18" s="18">
        <v>8.5</v>
      </c>
      <c r="L18" s="18">
        <v>95.2</v>
      </c>
    </row>
    <row r="19" spans="5:12" x14ac:dyDescent="0.3">
      <c r="E19" s="18">
        <v>10.7</v>
      </c>
      <c r="F19" s="18">
        <v>0</v>
      </c>
      <c r="G19" s="18">
        <v>8.1999999999999993</v>
      </c>
      <c r="H19" s="18">
        <v>0</v>
      </c>
      <c r="I19" s="18">
        <v>11.8</v>
      </c>
      <c r="J19" s="18">
        <v>0</v>
      </c>
      <c r="K19" s="18">
        <v>8.1999999999999993</v>
      </c>
      <c r="L19" s="18">
        <v>0</v>
      </c>
    </row>
  </sheetData>
  <mergeCells count="4">
    <mergeCell ref="E4:F4"/>
    <mergeCell ref="G4:H4"/>
    <mergeCell ref="I4:J4"/>
    <mergeCell ref="K4:L4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Properties</vt:lpstr>
      <vt:lpstr>EA-Estimate</vt:lpstr>
      <vt:lpstr>Tube_C_G_Nor</vt:lpstr>
      <vt:lpstr>Tube_C_G_AbNorm</vt:lpstr>
      <vt:lpstr>Tube_2504_Norm</vt:lpstr>
      <vt:lpstr>Tube_2504_AbNorm</vt:lpstr>
      <vt:lpstr>Summary</vt:lpstr>
      <vt:lpstr>Sheet1</vt:lpstr>
      <vt:lpstr>Tube_2504_AbNorm!Condition</vt:lpstr>
      <vt:lpstr>Tube_2504_Norm!Condition</vt:lpstr>
      <vt:lpstr>Tube_C_G_AbNorm!Condition</vt:lpstr>
      <vt:lpstr>Tube_C_G_Nor!Condition</vt:lpstr>
    </vt:vector>
  </TitlesOfParts>
  <Company>Kongsberg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Michal Moczulski</dc:creator>
  <cp:lastModifiedBy>João Pedro</cp:lastModifiedBy>
  <dcterms:created xsi:type="dcterms:W3CDTF">2015-01-22T22:14:27Z</dcterms:created>
  <dcterms:modified xsi:type="dcterms:W3CDTF">2022-11-08T11:58:44Z</dcterms:modified>
</cp:coreProperties>
</file>